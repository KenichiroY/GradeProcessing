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3B881341-27C1-429B-BDCF-826678964BD4}" xr6:coauthVersionLast="47" xr6:coauthVersionMax="47" xr10:uidLastSave="{00000000-0000-0000-0000-000000000000}"/>
  <bookViews>
    <workbookView xWindow="-120" yWindow="-120" windowWidth="29040" windowHeight="15720" activeTab="1" xr2:uid="{07AC5D8B-A8A1-45B4-9D66-304E6C971756}"/>
  </bookViews>
  <sheets>
    <sheet name="MENU" sheetId="2" r:id="rId1"/>
    <sheet name="J004_テスト４_思判表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3" l="1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D6" i="3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D6" i="2"/>
  <c r="F11" i="2"/>
</calcChain>
</file>

<file path=xl/sharedStrings.xml><?xml version="1.0" encoding="utf-8"?>
<sst xmlns="http://schemas.openxmlformats.org/spreadsheetml/2006/main" count="111" uniqueCount="77">
  <si>
    <t>追試管理シート</t>
    <rPh sb="0" eb="4">
      <t>ツイシカンリ</t>
    </rPh>
    <phoneticPr fontId="3"/>
  </si>
  <si>
    <t>追試元キー</t>
    <rPh sb="0" eb="3">
      <t>ツイシモト</t>
    </rPh>
    <phoneticPr fontId="3"/>
  </si>
  <si>
    <t>配点</t>
    <rPh sb="0" eb="2">
      <t>ハイテン</t>
    </rPh>
    <phoneticPr fontId="3"/>
  </si>
  <si>
    <t>合格者数</t>
    <rPh sb="0" eb="4">
      <t>ゴウカクシャスウ</t>
    </rPh>
    <phoneticPr fontId="3"/>
  </si>
  <si>
    <t>教科</t>
    <rPh sb="0" eb="2">
      <t>キョウカ</t>
    </rPh>
    <phoneticPr fontId="3"/>
  </si>
  <si>
    <t>合格点</t>
    <rPh sb="0" eb="3">
      <t>ゴウカクテン</t>
    </rPh>
    <phoneticPr fontId="3"/>
  </si>
  <si>
    <t>未合格者数</t>
    <rPh sb="0" eb="4">
      <t>ミゴウカクシャ</t>
    </rPh>
    <rPh sb="4" eb="5">
      <t>スウ</t>
    </rPh>
    <phoneticPr fontId="3"/>
  </si>
  <si>
    <t>テスト名</t>
    <rPh sb="3" eb="4">
      <t>メイ</t>
    </rPh>
    <phoneticPr fontId="3"/>
  </si>
  <si>
    <t>算出方法</t>
    <rPh sb="0" eb="4">
      <t>サンシュツホウホウ</t>
    </rPh>
    <phoneticPr fontId="3"/>
  </si>
  <si>
    <t>観点</t>
    <rPh sb="0" eb="2">
      <t>カンテン</t>
    </rPh>
    <phoneticPr fontId="3"/>
  </si>
  <si>
    <t>詳細</t>
    <rPh sb="0" eb="2">
      <t>ショウサイ</t>
    </rPh>
    <phoneticPr fontId="3"/>
  </si>
  <si>
    <t>状態</t>
    <rPh sb="0" eb="2">
      <t>ジョウタイ</t>
    </rPh>
    <phoneticPr fontId="3"/>
  </si>
  <si>
    <t>追試中</t>
    <rPh sb="0" eb="3">
      <t>ツイシチュウ</t>
    </rPh>
    <phoneticPr fontId="3"/>
  </si>
  <si>
    <t>コード</t>
    <phoneticPr fontId="3"/>
  </si>
  <si>
    <t>姓</t>
    <rPh sb="0" eb="1">
      <t>セイ</t>
    </rPh>
    <phoneticPr fontId="3"/>
  </si>
  <si>
    <t>名</t>
    <rPh sb="0" eb="1">
      <t>メイ</t>
    </rPh>
    <phoneticPr fontId="3"/>
  </si>
  <si>
    <t>本試</t>
    <rPh sb="0" eb="2">
      <t>ホンシ</t>
    </rPh>
    <phoneticPr fontId="3"/>
  </si>
  <si>
    <t>追試１</t>
    <rPh sb="0" eb="2">
      <t>ツイシ</t>
    </rPh>
    <phoneticPr fontId="3"/>
  </si>
  <si>
    <t>最終</t>
    <rPh sb="0" eb="2">
      <t>サイシュウ</t>
    </rPh>
    <phoneticPr fontId="3"/>
  </si>
  <si>
    <t>判定</t>
    <rPh sb="0" eb="2">
      <t>ハンテイ</t>
    </rPh>
    <phoneticPr fontId="3"/>
  </si>
  <si>
    <t>J004</t>
  </si>
  <si>
    <t>国語</t>
  </si>
  <si>
    <t>テスト４</t>
  </si>
  <si>
    <t>思判表</t>
  </si>
  <si>
    <t>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</si>
  <si>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</si>
  <si>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</si>
  <si>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</si>
  <si>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</si>
  <si>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</si>
  <si>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</si>
  <si>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</si>
  <si>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</si>
  <si>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</si>
  <si>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</si>
  <si>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</si>
  <si>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</si>
  <si>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</si>
  <si>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</si>
  <si>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</si>
  <si>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</si>
  <si>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</si>
  <si>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</si>
  <si>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</si>
  <si>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</si>
  <si>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</si>
  <si>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</si>
  <si>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</si>
  <si>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</si>
  <si>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</si>
  <si>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</si>
  <si>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</si>
  <si>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</si>
  <si>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</si>
  <si>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</si>
  <si>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</si>
  <si>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</si>
  <si>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</si>
  <si>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</si>
  <si>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</si>
  <si>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</si>
  <si>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</si>
  <si>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</si>
  <si>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</si>
  <si>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</si>
  <si>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</si>
  <si>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</si>
  <si>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</si>
  <si>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</si>
  <si>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</si>
  <si>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</si>
  <si>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</si>
  <si>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</si>
  <si>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追試中</t>
  </si>
  <si>
    <t>J004_テスト４_思判表</t>
  </si>
  <si>
    <t>国語</t>
    <phoneticPr fontId="3"/>
  </si>
  <si>
    <t>テスト４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</si>
</sst>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FFFFFF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0F0F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>
      <alignment vertical="center"/>
    </xf>
    <xf numFmtId="0" fontId="5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4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20581;&#19968;&#37070;\&#20181;&#20107;\11&#21508;&#31278;&#12503;&#12525;&#12464;&#12521;&#12512;\GradeProcessing\&#25104;&#32318;&#20966;&#29702;.xlsm" TargetMode="External"/><Relationship Id="rId1" Type="http://schemas.openxmlformats.org/officeDocument/2006/relationships/externalLinkPath" Target="&#25104;&#32318;&#20966;&#2970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名簿"/>
      <sheetName val="テスト入力"/>
      <sheetName val="データ"/>
      <sheetName val="Subject"/>
      <sheetName val="Result"/>
      <sheetName val="IndividualAnalysis"/>
      <sheetName val="Setting"/>
      <sheetName val="追試管理メニュー"/>
      <sheetName val="追試管理シート"/>
    </sheetNames>
    <definedNames>
      <definedName name="AddRetestRoundUI"/>
      <definedName name="ApplyFinalScoreFormulasUI"/>
      <definedName name="CompleteRetestUI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4350-53AC-48CD-814E-16FA5556FFFB}">
  <sheetPr codeName="sh_rt_template"/>
  <dimension ref="A1:H40"/>
  <sheetViews>
    <sheetView workbookViewId="0">
      <selection activeCell="H11" sqref="H11"/>
    </sheetView>
  </sheetViews>
  <sheetFormatPr defaultRowHeight="16.5" x14ac:dyDescent="0.4"/>
  <cols>
    <col min="1" max="1" width="12.625" style="3" customWidth="1"/>
    <col min="2" max="3" width="8.625" style="3" customWidth="1"/>
    <col min="4" max="4" width="10.625" style="3" customWidth="1"/>
    <col min="5" max="5" width="12.625" style="3" customWidth="1"/>
    <col min="6" max="6" width="9" style="3"/>
    <col min="7" max="7" width="10.375" style="3" customWidth="1"/>
    <col min="8" max="16384" width="9" style="3"/>
  </cols>
  <sheetData>
    <row r="1" spans="1:8" ht="24" x14ac:dyDescent="0.4">
      <c r="A1" s="1" t="s">
        <v>0</v>
      </c>
      <c r="B1" s="2"/>
      <c r="C1" s="2"/>
      <c r="D1" s="2"/>
      <c r="E1" s="2"/>
      <c r="F1" s="2"/>
      <c r="G1" s="2"/>
      <c r="H1" s="2"/>
    </row>
    <row r="2" spans="1:8" ht="57" customHeight="1" x14ac:dyDescent="0.4"/>
    <row r="3" spans="1:8" x14ac:dyDescent="0.4">
      <c r="A3" s="4" t="s">
        <v>1</v>
      </c>
      <c r="B3" s="5"/>
      <c r="D3" s="4" t="s">
        <v>2</v>
      </c>
      <c r="G3" s="6" t="s">
        <v>3</v>
      </c>
      <c r="H3" s="7"/>
    </row>
    <row r="4" spans="1:8" x14ac:dyDescent="0.4">
      <c r="A4" s="4" t="s">
        <v>4</v>
      </c>
      <c r="B4" s="5"/>
      <c r="D4" s="4" t="s">
        <v>5</v>
      </c>
      <c r="G4" s="6" t="s">
        <v>6</v>
      </c>
      <c r="H4" s="7"/>
    </row>
    <row r="5" spans="1:8" x14ac:dyDescent="0.4">
      <c r="A5" s="4" t="s">
        <v>7</v>
      </c>
      <c r="B5" s="5"/>
      <c r="D5" s="4" t="s">
        <v>8</v>
      </c>
    </row>
    <row r="6" spans="1:8" x14ac:dyDescent="0.4">
      <c r="A6" s="4" t="s">
        <v>9</v>
      </c>
      <c r="B6" s="5"/>
      <c r="D6" s="4" t="str">
        <f>IF(E5="内分点","内分比","")</f>
        <v/>
      </c>
    </row>
    <row r="7" spans="1:8" x14ac:dyDescent="0.4">
      <c r="A7" s="4" t="s">
        <v>10</v>
      </c>
      <c r="B7" s="5"/>
      <c r="D7" s="4" t="s">
        <v>11</v>
      </c>
      <c r="E7" s="3" t="s">
        <v>12</v>
      </c>
    </row>
    <row r="10" spans="1:8" s="9" customFormat="1" x14ac:dyDescent="0.4">
      <c r="A10" s="8" t="s">
        <v>13</v>
      </c>
      <c r="B10" s="8" t="s">
        <v>14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/>
    </row>
    <row r="11" spans="1:8" x14ac:dyDescent="0.4">
      <c r="A11" s="3" t="s">
        <v>20</v>
      </c>
      <c r="B11" s="3" t="s">
        <v>75</v>
      </c>
      <c r="C11" s="3" t="s">
        <v>76</v>
      </c>
      <c r="D11" s="3" t="s">
        <v>23</v>
      </c>
      <c r="E11" s="3" t="s">
        <v>73</v>
      </c>
      <c r="F11" s="3">
        <f ca="1">COUNTBLANK(INDIRECT("'J004_テスト４_思判表'!E11:E50"))</f>
        <v>40</v>
      </c>
      <c r="G11" s="3" t="s">
        <v>74</v>
      </c>
    </row>
    <row r="12" spans="1:8" x14ac:dyDescent="0.4">
      <c r="G12" s="3" t="str">
        <f t="shared" ref="G12:G40" si="0">IF($E$4="","",IF(F12&gt;=$E$4,"合格",""))</f>
        <v/>
      </c>
    </row>
    <row r="13" spans="1:8" x14ac:dyDescent="0.4">
      <c r="G13" s="3" t="str">
        <f t="shared" si="0"/>
        <v/>
      </c>
    </row>
    <row r="14" spans="1:8" x14ac:dyDescent="0.4">
      <c r="G14" s="3" t="str">
        <f t="shared" si="0"/>
        <v/>
      </c>
    </row>
    <row r="15" spans="1:8" x14ac:dyDescent="0.4">
      <c r="G15" s="3" t="str">
        <f t="shared" si="0"/>
        <v/>
      </c>
    </row>
    <row r="16" spans="1:8" x14ac:dyDescent="0.4">
      <c r="G16" s="3" t="str">
        <f t="shared" si="0"/>
        <v/>
      </c>
    </row>
    <row r="17" spans="7:7" x14ac:dyDescent="0.4">
      <c r="G17" s="3" t="str">
        <f t="shared" si="0"/>
        <v/>
      </c>
    </row>
    <row r="18" spans="7:7" x14ac:dyDescent="0.4">
      <c r="G18" s="3" t="str">
        <f t="shared" si="0"/>
        <v/>
      </c>
    </row>
    <row r="19" spans="7:7" x14ac:dyDescent="0.4">
      <c r="G19" s="3" t="str">
        <f t="shared" si="0"/>
        <v/>
      </c>
    </row>
    <row r="20" spans="7:7" x14ac:dyDescent="0.4">
      <c r="G20" s="3" t="str">
        <f t="shared" si="0"/>
        <v/>
      </c>
    </row>
    <row r="21" spans="7:7" x14ac:dyDescent="0.4">
      <c r="G21" s="3" t="str">
        <f t="shared" si="0"/>
        <v/>
      </c>
    </row>
    <row r="22" spans="7:7" x14ac:dyDescent="0.4">
      <c r="G22" s="3" t="str">
        <f t="shared" si="0"/>
        <v/>
      </c>
    </row>
    <row r="23" spans="7:7" x14ac:dyDescent="0.4">
      <c r="G23" s="3" t="str">
        <f t="shared" si="0"/>
        <v/>
      </c>
    </row>
    <row r="24" spans="7:7" x14ac:dyDescent="0.4">
      <c r="G24" s="3" t="str">
        <f t="shared" si="0"/>
        <v/>
      </c>
    </row>
    <row r="25" spans="7:7" x14ac:dyDescent="0.4">
      <c r="G25" s="3" t="str">
        <f t="shared" si="0"/>
        <v/>
      </c>
    </row>
    <row r="26" spans="7:7" x14ac:dyDescent="0.4">
      <c r="G26" s="3" t="str">
        <f t="shared" si="0"/>
        <v/>
      </c>
    </row>
    <row r="27" spans="7:7" x14ac:dyDescent="0.4">
      <c r="G27" s="3" t="str">
        <f t="shared" si="0"/>
        <v/>
      </c>
    </row>
    <row r="28" spans="7:7" x14ac:dyDescent="0.4">
      <c r="G28" s="3" t="str">
        <f t="shared" si="0"/>
        <v/>
      </c>
    </row>
    <row r="29" spans="7:7" x14ac:dyDescent="0.4">
      <c r="G29" s="3" t="str">
        <f t="shared" si="0"/>
        <v/>
      </c>
    </row>
    <row r="30" spans="7:7" x14ac:dyDescent="0.4">
      <c r="G30" s="3" t="str">
        <f t="shared" si="0"/>
        <v/>
      </c>
    </row>
    <row r="31" spans="7:7" x14ac:dyDescent="0.4">
      <c r="G31" s="3" t="str">
        <f t="shared" si="0"/>
        <v/>
      </c>
    </row>
    <row r="32" spans="7:7" x14ac:dyDescent="0.4">
      <c r="G32" s="3" t="str">
        <f t="shared" si="0"/>
        <v/>
      </c>
    </row>
    <row r="33" spans="7:7" x14ac:dyDescent="0.4">
      <c r="G33" s="3" t="str">
        <f t="shared" si="0"/>
        <v/>
      </c>
    </row>
    <row r="34" spans="7:7" x14ac:dyDescent="0.4">
      <c r="G34" s="3" t="str">
        <f t="shared" si="0"/>
        <v/>
      </c>
    </row>
    <row r="35" spans="7:7" x14ac:dyDescent="0.4">
      <c r="G35" s="3" t="str">
        <f t="shared" si="0"/>
        <v/>
      </c>
    </row>
    <row r="36" spans="7:7" x14ac:dyDescent="0.4">
      <c r="G36" s="3" t="str">
        <f t="shared" si="0"/>
        <v/>
      </c>
    </row>
    <row r="37" spans="7:7" x14ac:dyDescent="0.4">
      <c r="G37" s="3" t="str">
        <f t="shared" si="0"/>
        <v/>
      </c>
    </row>
    <row r="38" spans="7:7" x14ac:dyDescent="0.4">
      <c r="G38" s="3" t="str">
        <f t="shared" si="0"/>
        <v/>
      </c>
    </row>
    <row r="39" spans="7:7" x14ac:dyDescent="0.4">
      <c r="G39" s="3" t="str">
        <f t="shared" si="0"/>
        <v/>
      </c>
    </row>
    <row r="40" spans="7:7" x14ac:dyDescent="0.4">
      <c r="G40" s="3" t="str">
        <f t="shared" si="0"/>
        <v/>
      </c>
    </row>
  </sheetData>
  <phoneticPr fontId="3"/>
  <conditionalFormatting sqref="E7">
    <cfRule type="cellIs" dxfId="3" priority="1" stopIfTrue="1" operator="equal">
      <formula>"追試中"</formula>
    </cfRule>
    <cfRule type="cellIs" dxfId="2" priority="2" stopIfTrue="1" operator="equal">
      <formula>"反映済み"</formula>
    </cfRule>
  </conditionalFormatting>
  <dataValidations count="1">
    <dataValidation type="list" allowBlank="1" showInputMessage="1" showErrorMessage="1" sqref="E5" xr:uid="{3F3C0514-2BF9-434F-AE11-720BCCDA051C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6E12-7263-449C-9912-E8C75C2476FC}">
  <sheetPr codeName="sh_rt_template1"/>
  <dimension ref="A1:H40"/>
  <sheetViews>
    <sheetView tabSelected="1" workbookViewId="0">
      <selection activeCell="J19" sqref="J19"/>
    </sheetView>
  </sheetViews>
  <sheetFormatPr defaultRowHeight="16.5" x14ac:dyDescent="0.4"/>
  <cols>
    <col min="1" max="1" width="12.625" style="3" customWidth="1"/>
    <col min="2" max="3" width="8.625" style="3" customWidth="1"/>
    <col min="4" max="4" width="10.625" style="3" customWidth="1"/>
    <col min="5" max="5" width="12.625" style="3" customWidth="1"/>
    <col min="6" max="6" width="9" style="3"/>
    <col min="7" max="7" width="10.375" style="3" customWidth="1"/>
    <col min="8" max="16384" width="9" style="3"/>
  </cols>
  <sheetData>
    <row r="1" spans="1:8" ht="24" x14ac:dyDescent="0.4">
      <c r="A1" s="1" t="s">
        <v>0</v>
      </c>
      <c r="B1" s="2"/>
      <c r="C1" s="2"/>
      <c r="D1" s="2"/>
      <c r="E1" s="2"/>
      <c r="F1" s="2"/>
      <c r="G1" s="2"/>
      <c r="H1" s="2"/>
    </row>
    <row r="2" spans="1:8" ht="57" customHeight="1" x14ac:dyDescent="0.4"/>
    <row r="3" spans="1:8" x14ac:dyDescent="0.4">
      <c r="A3" s="4" t="s">
        <v>1</v>
      </c>
      <c r="B3" s="5" t="s">
        <v>20</v>
      </c>
      <c r="D3" s="4" t="s">
        <v>2</v>
      </c>
      <c r="E3" s="3">
        <v>100</v>
      </c>
      <c r="G3" s="6" t="s">
        <v>3</v>
      </c>
      <c r="H3" s="7"/>
    </row>
    <row r="4" spans="1:8" x14ac:dyDescent="0.4">
      <c r="A4" s="4" t="s">
        <v>4</v>
      </c>
      <c r="B4" s="5" t="s">
        <v>21</v>
      </c>
      <c r="D4" s="4" t="s">
        <v>5</v>
      </c>
      <c r="G4" s="6" t="s">
        <v>6</v>
      </c>
      <c r="H4" s="7"/>
    </row>
    <row r="5" spans="1:8" x14ac:dyDescent="0.4">
      <c r="A5" s="4" t="s">
        <v>7</v>
      </c>
      <c r="B5" s="5" t="s">
        <v>22</v>
      </c>
      <c r="D5" s="4" t="s">
        <v>8</v>
      </c>
    </row>
    <row r="6" spans="1:8" x14ac:dyDescent="0.4">
      <c r="A6" s="4" t="s">
        <v>9</v>
      </c>
      <c r="B6" s="5" t="s">
        <v>23</v>
      </c>
      <c r="D6" s="4" t="str">
        <f>IF(E5="内分点","内分比","")</f>
        <v/>
      </c>
    </row>
    <row r="7" spans="1:8" x14ac:dyDescent="0.4">
      <c r="A7" s="4" t="s">
        <v>10</v>
      </c>
      <c r="B7" s="5" t="s">
        <v>24</v>
      </c>
      <c r="D7" s="4" t="s">
        <v>11</v>
      </c>
      <c r="E7" s="3" t="s">
        <v>12</v>
      </c>
    </row>
    <row r="10" spans="1:8" s="9" customFormat="1" x14ac:dyDescent="0.4">
      <c r="A10" s="8" t="s">
        <v>13</v>
      </c>
      <c r="B10" s="8" t="s">
        <v>14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/>
    </row>
    <row r="11" spans="1:8" x14ac:dyDescent="0.4">
      <c r="A11" s="3">
        <v>10010001</v>
      </c>
      <c r="B11" s="3" t="s">
        <v>25</v>
      </c>
      <c r="C11" s="3" t="s">
        <v>26</v>
      </c>
      <c r="D11" s="3">
        <v>80</v>
      </c>
      <c r="G11" s="3" t="str">
        <f>IF($E$4="","",IF(F11&gt;=$E$4,"合格",""))</f>
        <v/>
      </c>
    </row>
    <row r="12" spans="1:8" x14ac:dyDescent="0.4">
      <c r="A12" s="3">
        <v>10010002</v>
      </c>
      <c r="B12" s="3" t="s">
        <v>27</v>
      </c>
      <c r="C12" s="3" t="s">
        <v>28</v>
      </c>
      <c r="D12" s="3">
        <v>80</v>
      </c>
      <c r="G12" s="3" t="str">
        <f t="shared" ref="G12:G40" si="0">IF($E$4="","",IF(F12&gt;=$E$4,"合格",""))</f>
        <v/>
      </c>
    </row>
    <row r="13" spans="1:8" x14ac:dyDescent="0.4">
      <c r="A13" s="3">
        <v>10010003</v>
      </c>
      <c r="B13" s="3" t="s">
        <v>29</v>
      </c>
      <c r="C13" s="3" t="s">
        <v>30</v>
      </c>
      <c r="D13" s="3">
        <v>80</v>
      </c>
      <c r="G13" s="3" t="str">
        <f t="shared" si="0"/>
        <v/>
      </c>
    </row>
    <row r="14" spans="1:8" x14ac:dyDescent="0.4">
      <c r="A14" s="3">
        <v>10010004</v>
      </c>
      <c r="B14" s="3" t="s">
        <v>31</v>
      </c>
      <c r="C14" s="3" t="s">
        <v>32</v>
      </c>
      <c r="D14" s="3">
        <v>80</v>
      </c>
      <c r="G14" s="3" t="str">
        <f t="shared" si="0"/>
        <v/>
      </c>
    </row>
    <row r="15" spans="1:8" x14ac:dyDescent="0.4">
      <c r="A15" s="3">
        <v>10010005</v>
      </c>
      <c r="B15" s="3" t="s">
        <v>33</v>
      </c>
      <c r="C15" s="3" t="s">
        <v>30</v>
      </c>
      <c r="D15" s="3">
        <v>80</v>
      </c>
      <c r="G15" s="3" t="str">
        <f t="shared" si="0"/>
        <v/>
      </c>
    </row>
    <row r="16" spans="1:8" x14ac:dyDescent="0.4">
      <c r="A16" s="3">
        <v>10010006</v>
      </c>
      <c r="B16" s="3" t="s">
        <v>34</v>
      </c>
      <c r="C16" s="3" t="s">
        <v>28</v>
      </c>
      <c r="D16" s="3">
        <v>80</v>
      </c>
      <c r="G16" s="3" t="str">
        <f t="shared" si="0"/>
        <v/>
      </c>
    </row>
    <row r="17" spans="1:7" x14ac:dyDescent="0.4">
      <c r="A17" s="3">
        <v>10010007</v>
      </c>
      <c r="B17" s="3" t="s">
        <v>35</v>
      </c>
      <c r="C17" s="3" t="s">
        <v>36</v>
      </c>
      <c r="D17" s="3">
        <v>80</v>
      </c>
      <c r="G17" s="3" t="str">
        <f t="shared" si="0"/>
        <v/>
      </c>
    </row>
    <row r="18" spans="1:7" x14ac:dyDescent="0.4">
      <c r="A18" s="3">
        <v>10010008</v>
      </c>
      <c r="B18" s="3" t="s">
        <v>37</v>
      </c>
      <c r="C18" s="3" t="s">
        <v>38</v>
      </c>
      <c r="D18" s="3">
        <v>80</v>
      </c>
      <c r="G18" s="3" t="str">
        <f t="shared" si="0"/>
        <v/>
      </c>
    </row>
    <row r="19" spans="1:7" x14ac:dyDescent="0.4">
      <c r="A19" s="3">
        <v>10010009</v>
      </c>
      <c r="B19" s="3" t="s">
        <v>39</v>
      </c>
      <c r="C19" s="3" t="s">
        <v>40</v>
      </c>
      <c r="D19" s="3">
        <v>80</v>
      </c>
      <c r="G19" s="3" t="str">
        <f t="shared" si="0"/>
        <v/>
      </c>
    </row>
    <row r="20" spans="1:7" x14ac:dyDescent="0.4">
      <c r="A20" s="3">
        <v>10010010</v>
      </c>
      <c r="B20" s="3" t="s">
        <v>41</v>
      </c>
      <c r="C20" s="3" t="s">
        <v>42</v>
      </c>
      <c r="D20" s="3">
        <v>80</v>
      </c>
      <c r="G20" s="3" t="str">
        <f t="shared" si="0"/>
        <v/>
      </c>
    </row>
    <row r="21" spans="1:7" x14ac:dyDescent="0.4">
      <c r="A21" s="3">
        <v>10010011</v>
      </c>
      <c r="B21" s="3" t="s">
        <v>43</v>
      </c>
      <c r="C21" s="3" t="s">
        <v>44</v>
      </c>
      <c r="D21" s="3">
        <v>90</v>
      </c>
      <c r="G21" s="3" t="str">
        <f t="shared" si="0"/>
        <v/>
      </c>
    </row>
    <row r="22" spans="1:7" x14ac:dyDescent="0.4">
      <c r="A22" s="3">
        <v>10010012</v>
      </c>
      <c r="B22" s="3" t="s">
        <v>45</v>
      </c>
      <c r="C22" s="3" t="s">
        <v>46</v>
      </c>
      <c r="D22" s="3">
        <v>80</v>
      </c>
      <c r="G22" s="3" t="str">
        <f t="shared" si="0"/>
        <v/>
      </c>
    </row>
    <row r="23" spans="1:7" x14ac:dyDescent="0.4">
      <c r="A23" s="3">
        <v>10010013</v>
      </c>
      <c r="B23" s="3" t="s">
        <v>47</v>
      </c>
      <c r="C23" s="3" t="s">
        <v>40</v>
      </c>
      <c r="D23" s="3">
        <v>80</v>
      </c>
      <c r="G23" s="3" t="str">
        <f t="shared" si="0"/>
        <v/>
      </c>
    </row>
    <row r="24" spans="1:7" x14ac:dyDescent="0.4">
      <c r="A24" s="3">
        <v>10010014</v>
      </c>
      <c r="B24" s="3" t="s">
        <v>48</v>
      </c>
      <c r="C24" s="3" t="s">
        <v>49</v>
      </c>
      <c r="D24" s="3">
        <v>80</v>
      </c>
      <c r="G24" s="3" t="str">
        <f t="shared" si="0"/>
        <v/>
      </c>
    </row>
    <row r="25" spans="1:7" x14ac:dyDescent="0.4">
      <c r="A25" s="3">
        <v>10010015</v>
      </c>
      <c r="B25" s="3" t="s">
        <v>50</v>
      </c>
      <c r="C25" s="3" t="s">
        <v>40</v>
      </c>
      <c r="D25" s="3">
        <v>80</v>
      </c>
      <c r="G25" s="3" t="str">
        <f t="shared" si="0"/>
        <v/>
      </c>
    </row>
    <row r="26" spans="1:7" x14ac:dyDescent="0.4">
      <c r="A26" s="3">
        <v>10010016</v>
      </c>
      <c r="B26" s="3" t="s">
        <v>51</v>
      </c>
      <c r="C26" s="3" t="s">
        <v>49</v>
      </c>
      <c r="D26" s="3">
        <v>80</v>
      </c>
      <c r="G26" s="3" t="str">
        <f t="shared" si="0"/>
        <v/>
      </c>
    </row>
    <row r="27" spans="1:7" x14ac:dyDescent="0.4">
      <c r="A27" s="3">
        <v>10010017</v>
      </c>
      <c r="B27" s="3" t="s">
        <v>52</v>
      </c>
      <c r="C27" s="3" t="s">
        <v>53</v>
      </c>
      <c r="D27" s="3">
        <v>80</v>
      </c>
      <c r="G27" s="3" t="str">
        <f t="shared" si="0"/>
        <v/>
      </c>
    </row>
    <row r="28" spans="1:7" x14ac:dyDescent="0.4">
      <c r="A28" s="3">
        <v>10010018</v>
      </c>
      <c r="B28" s="3" t="s">
        <v>54</v>
      </c>
      <c r="C28" s="3" t="s">
        <v>28</v>
      </c>
      <c r="D28" s="3">
        <v>80</v>
      </c>
      <c r="G28" s="3" t="str">
        <f t="shared" si="0"/>
        <v/>
      </c>
    </row>
    <row r="29" spans="1:7" x14ac:dyDescent="0.4">
      <c r="A29" s="3">
        <v>10010019</v>
      </c>
      <c r="B29" s="3" t="s">
        <v>55</v>
      </c>
      <c r="C29" s="3" t="s">
        <v>56</v>
      </c>
      <c r="D29" s="3">
        <v>80</v>
      </c>
      <c r="G29" s="3" t="str">
        <f t="shared" si="0"/>
        <v/>
      </c>
    </row>
    <row r="30" spans="1:7" x14ac:dyDescent="0.4">
      <c r="A30" s="3">
        <v>10010020</v>
      </c>
      <c r="B30" s="3" t="s">
        <v>57</v>
      </c>
      <c r="C30" s="3" t="s">
        <v>49</v>
      </c>
      <c r="D30" s="3">
        <v>80</v>
      </c>
      <c r="G30" s="3" t="str">
        <f t="shared" si="0"/>
        <v/>
      </c>
    </row>
    <row r="31" spans="1:7" x14ac:dyDescent="0.4">
      <c r="A31" s="3">
        <v>10010021</v>
      </c>
      <c r="B31" s="3" t="s">
        <v>58</v>
      </c>
      <c r="C31" s="3" t="s">
        <v>59</v>
      </c>
      <c r="D31" s="3">
        <v>80</v>
      </c>
      <c r="G31" s="3" t="str">
        <f t="shared" si="0"/>
        <v/>
      </c>
    </row>
    <row r="32" spans="1:7" x14ac:dyDescent="0.4">
      <c r="A32" s="3">
        <v>10010022</v>
      </c>
      <c r="B32" s="3" t="s">
        <v>60</v>
      </c>
      <c r="C32" s="3" t="s">
        <v>28</v>
      </c>
      <c r="D32" s="3">
        <v>80</v>
      </c>
      <c r="G32" s="3" t="str">
        <f t="shared" si="0"/>
        <v/>
      </c>
    </row>
    <row r="33" spans="1:7" x14ac:dyDescent="0.4">
      <c r="A33" s="3">
        <v>10010023</v>
      </c>
      <c r="B33" s="3" t="s">
        <v>61</v>
      </c>
      <c r="C33" s="3" t="s">
        <v>62</v>
      </c>
      <c r="D33" s="3">
        <v>80</v>
      </c>
      <c r="G33" s="3" t="str">
        <f t="shared" si="0"/>
        <v/>
      </c>
    </row>
    <row r="34" spans="1:7" x14ac:dyDescent="0.4">
      <c r="A34" s="3">
        <v>10010024</v>
      </c>
      <c r="B34" s="3" t="s">
        <v>63</v>
      </c>
      <c r="C34" s="3" t="s">
        <v>46</v>
      </c>
      <c r="D34" s="3">
        <v>80</v>
      </c>
      <c r="G34" s="3" t="str">
        <f t="shared" si="0"/>
        <v/>
      </c>
    </row>
    <row r="35" spans="1:7" x14ac:dyDescent="0.4">
      <c r="A35" s="3">
        <v>10010025</v>
      </c>
      <c r="B35" s="3" t="s">
        <v>64</v>
      </c>
      <c r="C35" s="3" t="s">
        <v>65</v>
      </c>
      <c r="D35" s="3">
        <v>80</v>
      </c>
      <c r="G35" s="3" t="str">
        <f t="shared" si="0"/>
        <v/>
      </c>
    </row>
    <row r="36" spans="1:7" x14ac:dyDescent="0.4">
      <c r="A36" s="3">
        <v>10010026</v>
      </c>
      <c r="B36" s="3" t="s">
        <v>66</v>
      </c>
      <c r="C36" s="3" t="s">
        <v>67</v>
      </c>
      <c r="D36" s="3">
        <v>80</v>
      </c>
      <c r="G36" s="3" t="str">
        <f t="shared" si="0"/>
        <v/>
      </c>
    </row>
    <row r="37" spans="1:7" x14ac:dyDescent="0.4">
      <c r="A37" s="3">
        <v>10010027</v>
      </c>
      <c r="B37" s="3" t="s">
        <v>68</v>
      </c>
      <c r="C37" s="3" t="s">
        <v>53</v>
      </c>
      <c r="D37" s="3">
        <v>80</v>
      </c>
      <c r="G37" s="3" t="str">
        <f t="shared" si="0"/>
        <v/>
      </c>
    </row>
    <row r="38" spans="1:7" x14ac:dyDescent="0.4">
      <c r="A38" s="3">
        <v>10010028</v>
      </c>
      <c r="B38" s="3" t="s">
        <v>69</v>
      </c>
      <c r="C38" s="3" t="s">
        <v>28</v>
      </c>
      <c r="D38" s="3">
        <v>80</v>
      </c>
      <c r="G38" s="3" t="str">
        <f t="shared" si="0"/>
        <v/>
      </c>
    </row>
    <row r="39" spans="1:7" x14ac:dyDescent="0.4">
      <c r="A39" s="3">
        <v>10010029</v>
      </c>
      <c r="B39" s="3" t="s">
        <v>70</v>
      </c>
      <c r="C39" s="3" t="s">
        <v>65</v>
      </c>
      <c r="D39" s="3">
        <v>80</v>
      </c>
      <c r="G39" s="3" t="str">
        <f t="shared" si="0"/>
        <v/>
      </c>
    </row>
    <row r="40" spans="1:7" x14ac:dyDescent="0.4">
      <c r="A40" s="3">
        <v>10010030</v>
      </c>
      <c r="B40" s="3" t="s">
        <v>71</v>
      </c>
      <c r="C40" s="3" t="s">
        <v>72</v>
      </c>
      <c r="D40" s="3">
        <v>80</v>
      </c>
      <c r="G40" s="3" t="str">
        <f t="shared" si="0"/>
        <v/>
      </c>
    </row>
  </sheetData>
  <phoneticPr fontId="3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652DB8F6-DFE7-4C8D-B751-85B6BFE9B0D9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J004_テスト４_思判表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健一郎 矢原</dc:creator>
  <cp:lastModifiedBy>健一郎 矢原</cp:lastModifiedBy>
  <dcterms:created xsi:type="dcterms:W3CDTF">2026-02-10T14:54:47Z</dcterms:created>
  <dcterms:modified xsi:type="dcterms:W3CDTF">2026-02-11T16:12:39Z</dcterms:modified>
</cp:coreProperties>
</file>