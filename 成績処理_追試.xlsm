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6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7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8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9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0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1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12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健一郎\仕事\11各種プログラム\GradeProcessing\"/>
    </mc:Choice>
  </mc:AlternateContent>
  <xr:revisionPtr revIDLastSave="0" documentId="13_ncr:1_{E48C1187-1916-42B0-8BCF-6416EF505220}" xr6:coauthVersionLast="47" xr6:coauthVersionMax="47" xr10:uidLastSave="{00000000-0000-0000-0000-000000000000}"/>
  <bookViews>
    <workbookView xWindow="-120" yWindow="-120" windowWidth="29040" windowHeight="15720" firstSheet="3" activeTab="11" xr2:uid="{A9F4074F-1D69-4BD4-9A61-B69C27CA1A4B}"/>
  </bookViews>
  <sheets>
    <sheet name="MENU" sheetId="2" r:id="rId1"/>
    <sheet name="M004_asdfghjkl_知技" sheetId="3" r:id="rId2"/>
    <sheet name="M005_kjhgf_思判表" sheetId="4" r:id="rId3"/>
    <sheet name="M006_iuytr_知技" sheetId="5" r:id="rId4"/>
    <sheet name="J011_84stdh_知技" sheetId="6" r:id="rId5"/>
    <sheet name="J012_ahjlfg_知技" sheetId="7" r:id="rId6"/>
    <sheet name="R001_fs9g876dwah_思判表" sheetId="8" r:id="rId7"/>
    <sheet name="S005_test23_知技" sheetId="9" r:id="rId8"/>
    <sheet name="M007_test24_思判表" sheetId="10" r:id="rId9"/>
    <sheet name="M007_test24_思判表_1" sheetId="11" r:id="rId10"/>
    <sheet name="M007_test24_思判表_2" sheetId="12" r:id="rId11"/>
    <sheet name="J013_てｓｔ２４５_知技" sheetId="13" r:id="rId12"/>
  </sheets>
  <externalReferences>
    <externalReference r:id="rId1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0" i="13" l="1"/>
  <c r="G39" i="13"/>
  <c r="G38" i="13"/>
  <c r="G37" i="13"/>
  <c r="G36" i="13"/>
  <c r="G35" i="13"/>
  <c r="G34" i="13"/>
  <c r="G33" i="13"/>
  <c r="G32" i="13"/>
  <c r="G31" i="13"/>
  <c r="G30" i="13"/>
  <c r="G29" i="13"/>
  <c r="G28" i="13"/>
  <c r="G27" i="13"/>
  <c r="G26" i="13"/>
  <c r="G25" i="13"/>
  <c r="G24" i="13"/>
  <c r="G23" i="13"/>
  <c r="G22" i="13"/>
  <c r="G21" i="13"/>
  <c r="G20" i="13"/>
  <c r="G19" i="13"/>
  <c r="G18" i="13"/>
  <c r="G17" i="13"/>
  <c r="G16" i="13"/>
  <c r="G15" i="13"/>
  <c r="G14" i="13"/>
  <c r="G13" i="13"/>
  <c r="G12" i="13"/>
  <c r="G11" i="13"/>
  <c r="D6" i="13"/>
  <c r="G40" i="12"/>
  <c r="G39" i="12"/>
  <c r="G38" i="12"/>
  <c r="G37" i="12"/>
  <c r="G36" i="12"/>
  <c r="G35" i="12"/>
  <c r="G34" i="12"/>
  <c r="G33" i="12"/>
  <c r="G32" i="12"/>
  <c r="G31" i="12"/>
  <c r="G30" i="12"/>
  <c r="G29" i="12"/>
  <c r="G28" i="12"/>
  <c r="G27" i="12"/>
  <c r="G26" i="12"/>
  <c r="G25" i="12"/>
  <c r="G24" i="12"/>
  <c r="G23" i="12"/>
  <c r="G22" i="12"/>
  <c r="G21" i="12"/>
  <c r="G20" i="12"/>
  <c r="G19" i="12"/>
  <c r="G18" i="12"/>
  <c r="G17" i="12"/>
  <c r="G16" i="12"/>
  <c r="G15" i="12"/>
  <c r="G14" i="12"/>
  <c r="G13" i="12"/>
  <c r="G12" i="12"/>
  <c r="G11" i="12"/>
  <c r="D6" i="12"/>
  <c r="G40" i="11"/>
  <c r="G39" i="11"/>
  <c r="G38" i="11"/>
  <c r="G37" i="11"/>
  <c r="G36" i="11"/>
  <c r="G35" i="11"/>
  <c r="G34" i="11"/>
  <c r="G33" i="11"/>
  <c r="G32" i="11"/>
  <c r="G31" i="11"/>
  <c r="G30" i="11"/>
  <c r="G29" i="11"/>
  <c r="G28" i="11"/>
  <c r="G27" i="11"/>
  <c r="G26" i="11"/>
  <c r="G25" i="11"/>
  <c r="G24" i="11"/>
  <c r="G23" i="11"/>
  <c r="G22" i="11"/>
  <c r="G21" i="11"/>
  <c r="G20" i="11"/>
  <c r="G19" i="11"/>
  <c r="G18" i="11"/>
  <c r="G17" i="11"/>
  <c r="G16" i="11"/>
  <c r="G15" i="11"/>
  <c r="G14" i="11"/>
  <c r="G13" i="11"/>
  <c r="G12" i="11"/>
  <c r="G11" i="11"/>
  <c r="D6" i="11"/>
  <c r="G40" i="10"/>
  <c r="G39" i="10"/>
  <c r="G38" i="10"/>
  <c r="G37" i="10"/>
  <c r="G36" i="10"/>
  <c r="G35" i="10"/>
  <c r="G34" i="10"/>
  <c r="G33" i="10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D6" i="10"/>
  <c r="D6" i="9"/>
  <c r="G40" i="8"/>
  <c r="G39" i="8"/>
  <c r="G38" i="8"/>
  <c r="G37" i="8"/>
  <c r="G36" i="8"/>
  <c r="G35" i="8"/>
  <c r="G34" i="8"/>
  <c r="G33" i="8"/>
  <c r="G32" i="8"/>
  <c r="G31" i="8"/>
  <c r="G30" i="8"/>
  <c r="G29" i="8"/>
  <c r="G28" i="8"/>
  <c r="G27" i="8"/>
  <c r="G26" i="8"/>
  <c r="G25" i="8"/>
  <c r="G24" i="8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41" i="6"/>
  <c r="G40" i="6"/>
  <c r="G39" i="6"/>
  <c r="G38" i="6"/>
  <c r="G37" i="6"/>
  <c r="G36" i="6"/>
  <c r="G35" i="6"/>
  <c r="G34" i="6"/>
  <c r="G33" i="6"/>
  <c r="G32" i="6"/>
  <c r="G31" i="6"/>
  <c r="G30" i="6"/>
  <c r="G29" i="6"/>
  <c r="G28" i="6"/>
  <c r="G27" i="6"/>
  <c r="G26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22" i="2"/>
  <c r="F20" i="2"/>
  <c r="F21" i="2"/>
  <c r="F18" i="2"/>
  <c r="F19" i="2"/>
  <c r="F14" i="2"/>
  <c r="F17" i="2"/>
  <c r="F16" i="2"/>
  <c r="F15" i="2"/>
  <c r="F12" i="2"/>
  <c r="F13" i="2"/>
</calcChain>
</file>

<file path=xl/sharedStrings.xml><?xml version="1.0" encoding="utf-8"?>
<sst xmlns="http://schemas.openxmlformats.org/spreadsheetml/2006/main" count="1002" uniqueCount="110">
  <si>
    <t>追試管理シート</t>
    <rPh sb="0" eb="4">
      <t>ツイシカンリ</t>
    </rPh>
    <phoneticPr fontId="1"/>
  </si>
  <si>
    <t>追試元キー</t>
    <rPh sb="0" eb="3">
      <t>ツイシモト</t>
    </rPh>
    <phoneticPr fontId="1"/>
  </si>
  <si>
    <t>算出方法</t>
    <rPh sb="0" eb="4">
      <t>サンシュツホウホウ</t>
    </rPh>
    <phoneticPr fontId="1"/>
  </si>
  <si>
    <t>最大値</t>
    <rPh sb="0" eb="3">
      <t>サイダイチ</t>
    </rPh>
    <phoneticPr fontId="1"/>
  </si>
  <si>
    <t>教科</t>
    <rPh sb="0" eb="2">
      <t>キョウカ</t>
    </rPh>
    <phoneticPr fontId="1"/>
  </si>
  <si>
    <t>パラメータ</t>
    <phoneticPr fontId="1"/>
  </si>
  <si>
    <t>テスト名</t>
    <rPh sb="3" eb="4">
      <t>メイ</t>
    </rPh>
    <phoneticPr fontId="1"/>
  </si>
  <si>
    <t>状態</t>
    <rPh sb="0" eb="2">
      <t>ジョウタイ</t>
    </rPh>
    <phoneticPr fontId="1"/>
  </si>
  <si>
    <t>追試中</t>
    <rPh sb="0" eb="3">
      <t>ツイシチュウ</t>
    </rPh>
    <phoneticPr fontId="1"/>
  </si>
  <si>
    <t>観点</t>
    <rPh sb="0" eb="2">
      <t>カンテン</t>
    </rPh>
    <phoneticPr fontId="1"/>
  </si>
  <si>
    <t>詳細</t>
    <rPh sb="0" eb="2">
      <t>ショウサイ</t>
    </rPh>
    <phoneticPr fontId="1"/>
  </si>
  <si>
    <t>配点</t>
    <rPh sb="0" eb="2">
      <t>ハイテン</t>
    </rPh>
    <phoneticPr fontId="1"/>
  </si>
  <si>
    <t>コード</t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</si>
  <si>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</si>
  <si>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</si>
  <si>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本試</t>
    <rPh sb="0" eb="2">
      <t>ホンシ</t>
    </rPh>
    <phoneticPr fontId="1"/>
  </si>
  <si>
    <t>追試１</t>
    <rPh sb="0" eb="2">
      <t>ツイシ</t>
    </rPh>
    <phoneticPr fontId="1"/>
  </si>
  <si>
    <t>最終</t>
    <rPh sb="0" eb="2">
      <t>サイシュウ</t>
    </rPh>
    <phoneticPr fontId="1"/>
  </si>
  <si>
    <t>M004</t>
  </si>
  <si>
    <t>算数</t>
  </si>
  <si>
    <t>asdfghjkl</t>
  </si>
  <si>
    <t>知技</t>
  </si>
  <si>
    <t>田中</t>
  </si>
  <si>
    <t>雄介</t>
  </si>
  <si>
    <t>佐藤</t>
  </si>
  <si>
    <t>凛</t>
  </si>
  <si>
    <t>鈴木</t>
  </si>
  <si>
    <t>誠</t>
  </si>
  <si>
    <t>高橋</t>
  </si>
  <si>
    <t>美優</t>
  </si>
  <si>
    <t>渡辺</t>
  </si>
  <si>
    <t>伊藤</t>
  </si>
  <si>
    <t>山本</t>
  </si>
  <si>
    <t>太郎</t>
  </si>
  <si>
    <t>中村</t>
  </si>
  <si>
    <t>真央</t>
  </si>
  <si>
    <t>小林</t>
  </si>
  <si>
    <t>浩</t>
  </si>
  <si>
    <t>加藤</t>
  </si>
  <si>
    <t>さくら</t>
  </si>
  <si>
    <t>吉田</t>
  </si>
  <si>
    <t>亮</t>
  </si>
  <si>
    <t>山田</t>
  </si>
  <si>
    <t>愛</t>
  </si>
  <si>
    <t>佐々木</t>
  </si>
  <si>
    <t>山口</t>
  </si>
  <si>
    <t>結衣</t>
  </si>
  <si>
    <t>松本</t>
  </si>
  <si>
    <t>井上</t>
  </si>
  <si>
    <t>木村</t>
  </si>
  <si>
    <t>学</t>
  </si>
  <si>
    <t>林</t>
  </si>
  <si>
    <t>斎藤</t>
  </si>
  <si>
    <t>翔太</t>
  </si>
  <si>
    <t>清水</t>
  </si>
  <si>
    <t>山崎</t>
  </si>
  <si>
    <t>一郎</t>
  </si>
  <si>
    <t>森</t>
  </si>
  <si>
    <t>池田</t>
  </si>
  <si>
    <t>直樹</t>
  </si>
  <si>
    <t>橋本</t>
  </si>
  <si>
    <t>阿部</t>
  </si>
  <si>
    <t>健太</t>
  </si>
  <si>
    <t>石川</t>
  </si>
  <si>
    <t>陽菜</t>
  </si>
  <si>
    <t>山下</t>
  </si>
  <si>
    <t>中島</t>
  </si>
  <si>
    <t>石井</t>
  </si>
  <si>
    <t>小川</t>
  </si>
  <si>
    <t>楓</t>
  </si>
  <si>
    <t>M004_asdfghjkl_知技</t>
  </si>
  <si>
    <t>反映済み</t>
    <phoneticPr fontId="1"/>
  </si>
  <si>
    <t>M005</t>
  </si>
  <si>
    <t>kjhgf</t>
  </si>
  <si>
    <t>思判表</t>
  </si>
  <si>
    <t>追試中</t>
  </si>
  <si>
    <t>M005_kjhgf_思判表</t>
  </si>
  <si>
    <t>M006</t>
  </si>
  <si>
    <t>iuytr</t>
  </si>
  <si>
    <t>M006_iuytr_知技</t>
  </si>
  <si>
    <t>追試中</t>
    <phoneticPr fontId="1"/>
  </si>
  <si>
    <t>J011</t>
  </si>
  <si>
    <t>国語</t>
  </si>
  <si>
    <t>84stdh</t>
  </si>
  <si>
    <t>J011_84stdh_知技</t>
  </si>
  <si>
    <t>追試2</t>
  </si>
  <si>
    <t>J012</t>
  </si>
  <si>
    <t>ahjlfg</t>
  </si>
  <si>
    <t>J012_ahjlfg_知技</t>
  </si>
  <si>
    <t>R001</t>
  </si>
  <si>
    <t>理科</t>
  </si>
  <si>
    <t>fs9g876dwah</t>
  </si>
  <si>
    <t>R001_fs9g876dwah_思判表</t>
  </si>
  <si>
    <t>合格者数</t>
    <rPh sb="0" eb="4">
      <t>ゴウカクシャスウ</t>
    </rPh>
    <phoneticPr fontId="1"/>
  </si>
  <si>
    <t>合格点</t>
    <rPh sb="0" eb="3">
      <t>ゴウカクテン</t>
    </rPh>
    <phoneticPr fontId="1"/>
  </si>
  <si>
    <t>未合格者数</t>
    <rPh sb="0" eb="4">
      <t>ミゴウカクシャ</t>
    </rPh>
    <rPh sb="4" eb="5">
      <t>スウ</t>
    </rPh>
    <phoneticPr fontId="1"/>
  </si>
  <si>
    <t>本試のみ</t>
  </si>
  <si>
    <t>判定</t>
    <rPh sb="0" eb="2">
      <t>ハンテイ</t>
    </rPh>
    <phoneticPr fontId="1"/>
  </si>
  <si>
    <t>S005</t>
  </si>
  <si>
    <t>社会</t>
  </si>
  <si>
    <t>test23</t>
  </si>
  <si>
    <t>S005_test23_知技</t>
  </si>
  <si>
    <t>M007</t>
  </si>
  <si>
    <t>test24</t>
  </si>
  <si>
    <t>M007_test24_思判表</t>
  </si>
  <si>
    <t>M007_test24_思判表_1</t>
  </si>
  <si>
    <t>M007_test24_思判表_2</t>
  </si>
  <si>
    <t>J013</t>
  </si>
  <si>
    <t>てｓｔ２４５</t>
  </si>
  <si>
    <t>J013_てｓｔ２４５_知技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</si>
</sst>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20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1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47625</xdr:rowOff>
        </xdr:from>
        <xdr:to>
          <xdr:col>2</xdr:col>
          <xdr:colOff>171450</xdr:colOff>
          <xdr:row>1</xdr:row>
          <xdr:rowOff>619125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最終得点計算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1</xdr:row>
          <xdr:rowOff>47625</xdr:rowOff>
        </xdr:from>
        <xdr:to>
          <xdr:col>4</xdr:col>
          <xdr:colOff>419100</xdr:colOff>
          <xdr:row>1</xdr:row>
          <xdr:rowOff>619125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追試回追加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47625</xdr:rowOff>
        </xdr:from>
        <xdr:to>
          <xdr:col>7</xdr:col>
          <xdr:colOff>9525</xdr:colOff>
          <xdr:row>1</xdr:row>
          <xdr:rowOff>619125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追試完了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47625</xdr:rowOff>
        </xdr:from>
        <xdr:to>
          <xdr:col>2</xdr:col>
          <xdr:colOff>171450</xdr:colOff>
          <xdr:row>1</xdr:row>
          <xdr:rowOff>619125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最終得点計算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1</xdr:row>
          <xdr:rowOff>47625</xdr:rowOff>
        </xdr:from>
        <xdr:to>
          <xdr:col>4</xdr:col>
          <xdr:colOff>419100</xdr:colOff>
          <xdr:row>1</xdr:row>
          <xdr:rowOff>619125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追試回追加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47625</xdr:rowOff>
        </xdr:from>
        <xdr:to>
          <xdr:col>7</xdr:col>
          <xdr:colOff>9525</xdr:colOff>
          <xdr:row>1</xdr:row>
          <xdr:rowOff>619125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追試完了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47625</xdr:rowOff>
        </xdr:from>
        <xdr:to>
          <xdr:col>2</xdr:col>
          <xdr:colOff>171450</xdr:colOff>
          <xdr:row>1</xdr:row>
          <xdr:rowOff>619125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最終得点計算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1</xdr:row>
          <xdr:rowOff>47625</xdr:rowOff>
        </xdr:from>
        <xdr:to>
          <xdr:col>4</xdr:col>
          <xdr:colOff>419100</xdr:colOff>
          <xdr:row>1</xdr:row>
          <xdr:rowOff>619125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追試回追加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47625</xdr:rowOff>
        </xdr:from>
        <xdr:to>
          <xdr:col>7</xdr:col>
          <xdr:colOff>9525</xdr:colOff>
          <xdr:row>1</xdr:row>
          <xdr:rowOff>619125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追試完了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47625</xdr:rowOff>
        </xdr:from>
        <xdr:to>
          <xdr:col>2</xdr:col>
          <xdr:colOff>171450</xdr:colOff>
          <xdr:row>1</xdr:row>
          <xdr:rowOff>619125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最終得点計算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1</xdr:row>
          <xdr:rowOff>47625</xdr:rowOff>
        </xdr:from>
        <xdr:to>
          <xdr:col>4</xdr:col>
          <xdr:colOff>419100</xdr:colOff>
          <xdr:row>1</xdr:row>
          <xdr:rowOff>619125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追試回追加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47625</xdr:rowOff>
        </xdr:from>
        <xdr:to>
          <xdr:col>7</xdr:col>
          <xdr:colOff>9525</xdr:colOff>
          <xdr:row>1</xdr:row>
          <xdr:rowOff>619125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追試完了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47625</xdr:rowOff>
        </xdr:from>
        <xdr:to>
          <xdr:col>2</xdr:col>
          <xdr:colOff>171450</xdr:colOff>
          <xdr:row>1</xdr:row>
          <xdr:rowOff>619125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最終得点計算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1</xdr:row>
          <xdr:rowOff>47625</xdr:rowOff>
        </xdr:from>
        <xdr:to>
          <xdr:col>4</xdr:col>
          <xdr:colOff>419100</xdr:colOff>
          <xdr:row>1</xdr:row>
          <xdr:rowOff>619125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追試回追加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47625</xdr:rowOff>
        </xdr:from>
        <xdr:to>
          <xdr:col>8</xdr:col>
          <xdr:colOff>9525</xdr:colOff>
          <xdr:row>1</xdr:row>
          <xdr:rowOff>619125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追試完了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47625</xdr:rowOff>
        </xdr:from>
        <xdr:to>
          <xdr:col>2</xdr:col>
          <xdr:colOff>171450</xdr:colOff>
          <xdr:row>1</xdr:row>
          <xdr:rowOff>619125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最終得点計算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1</xdr:row>
          <xdr:rowOff>47625</xdr:rowOff>
        </xdr:from>
        <xdr:to>
          <xdr:col>4</xdr:col>
          <xdr:colOff>419100</xdr:colOff>
          <xdr:row>1</xdr:row>
          <xdr:rowOff>619125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追試回追加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47625</xdr:rowOff>
        </xdr:from>
        <xdr:to>
          <xdr:col>7</xdr:col>
          <xdr:colOff>9525</xdr:colOff>
          <xdr:row>1</xdr:row>
          <xdr:rowOff>619125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追試完了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47625</xdr:rowOff>
        </xdr:from>
        <xdr:to>
          <xdr:col>2</xdr:col>
          <xdr:colOff>171450</xdr:colOff>
          <xdr:row>1</xdr:row>
          <xdr:rowOff>619125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最終得点計算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1</xdr:row>
          <xdr:rowOff>47625</xdr:rowOff>
        </xdr:from>
        <xdr:to>
          <xdr:col>4</xdr:col>
          <xdr:colOff>419100</xdr:colOff>
          <xdr:row>1</xdr:row>
          <xdr:rowOff>619125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追試回追加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47625</xdr:rowOff>
        </xdr:from>
        <xdr:to>
          <xdr:col>8</xdr:col>
          <xdr:colOff>9525</xdr:colOff>
          <xdr:row>1</xdr:row>
          <xdr:rowOff>619125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追試完了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47625</xdr:rowOff>
        </xdr:from>
        <xdr:to>
          <xdr:col>2</xdr:col>
          <xdr:colOff>171450</xdr:colOff>
          <xdr:row>1</xdr:row>
          <xdr:rowOff>619125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最終得点計算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304800</xdr:colOff>
          <xdr:row>1</xdr:row>
          <xdr:rowOff>47625</xdr:rowOff>
        </xdr:from>
        <xdr:to>
          <xdr:col>4</xdr:col>
          <xdr:colOff>419100</xdr:colOff>
          <xdr:row>1</xdr:row>
          <xdr:rowOff>619125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追試回追加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581025</xdr:colOff>
          <xdr:row>1</xdr:row>
          <xdr:rowOff>47625</xdr:rowOff>
        </xdr:from>
        <xdr:to>
          <xdr:col>7</xdr:col>
          <xdr:colOff>9525</xdr:colOff>
          <xdr:row>1</xdr:row>
          <xdr:rowOff>619125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7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追試完了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47625</xdr:rowOff>
        </xdr:from>
        <xdr:to>
          <xdr:col>2</xdr:col>
          <xdr:colOff>171450</xdr:colOff>
          <xdr:row>1</xdr:row>
          <xdr:rowOff>619125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最終得点計算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304800</xdr:colOff>
          <xdr:row>1</xdr:row>
          <xdr:rowOff>47625</xdr:rowOff>
        </xdr:from>
        <xdr:to>
          <xdr:col>4</xdr:col>
          <xdr:colOff>419100</xdr:colOff>
          <xdr:row>1</xdr:row>
          <xdr:rowOff>619125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8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追試回追加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581025</xdr:colOff>
          <xdr:row>1</xdr:row>
          <xdr:rowOff>47625</xdr:rowOff>
        </xdr:from>
        <xdr:to>
          <xdr:col>7</xdr:col>
          <xdr:colOff>9525</xdr:colOff>
          <xdr:row>1</xdr:row>
          <xdr:rowOff>619125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8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追試完了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47625</xdr:rowOff>
        </xdr:from>
        <xdr:to>
          <xdr:col>2</xdr:col>
          <xdr:colOff>171450</xdr:colOff>
          <xdr:row>1</xdr:row>
          <xdr:rowOff>619125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最終得点計算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304800</xdr:colOff>
          <xdr:row>1</xdr:row>
          <xdr:rowOff>47625</xdr:rowOff>
        </xdr:from>
        <xdr:to>
          <xdr:col>4</xdr:col>
          <xdr:colOff>419100</xdr:colOff>
          <xdr:row>1</xdr:row>
          <xdr:rowOff>619125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追試回追加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581025</xdr:colOff>
          <xdr:row>1</xdr:row>
          <xdr:rowOff>47625</xdr:rowOff>
        </xdr:from>
        <xdr:to>
          <xdr:col>7</xdr:col>
          <xdr:colOff>9525</xdr:colOff>
          <xdr:row>1</xdr:row>
          <xdr:rowOff>619125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9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追試完了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47625</xdr:rowOff>
        </xdr:from>
        <xdr:to>
          <xdr:col>2</xdr:col>
          <xdr:colOff>171450</xdr:colOff>
          <xdr:row>1</xdr:row>
          <xdr:rowOff>619125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最終得点計算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304800</xdr:colOff>
          <xdr:row>1</xdr:row>
          <xdr:rowOff>47625</xdr:rowOff>
        </xdr:from>
        <xdr:to>
          <xdr:col>4</xdr:col>
          <xdr:colOff>419100</xdr:colOff>
          <xdr:row>1</xdr:row>
          <xdr:rowOff>619125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A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追試回追加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581025</xdr:colOff>
          <xdr:row>1</xdr:row>
          <xdr:rowOff>47625</xdr:rowOff>
        </xdr:from>
        <xdr:to>
          <xdr:col>7</xdr:col>
          <xdr:colOff>9525</xdr:colOff>
          <xdr:row>1</xdr:row>
          <xdr:rowOff>619125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A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追試完了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47625</xdr:rowOff>
        </xdr:from>
        <xdr:to>
          <xdr:col>2</xdr:col>
          <xdr:colOff>171450</xdr:colOff>
          <xdr:row>1</xdr:row>
          <xdr:rowOff>619125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6C4EFDDD-E2C2-470D-913A-D4D9FED30A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最終得点計算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304800</xdr:colOff>
          <xdr:row>1</xdr:row>
          <xdr:rowOff>47625</xdr:rowOff>
        </xdr:from>
        <xdr:to>
          <xdr:col>4</xdr:col>
          <xdr:colOff>419100</xdr:colOff>
          <xdr:row>1</xdr:row>
          <xdr:rowOff>619125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1B317208-EDF1-41B6-884B-96AB386443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追試回追加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581025</xdr:colOff>
          <xdr:row>1</xdr:row>
          <xdr:rowOff>47625</xdr:rowOff>
        </xdr:from>
        <xdr:to>
          <xdr:col>7</xdr:col>
          <xdr:colOff>9525</xdr:colOff>
          <xdr:row>1</xdr:row>
          <xdr:rowOff>619125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C84286F3-5DC3-443E-8433-F6CDFFE6F4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追試完了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676275</xdr:colOff>
          <xdr:row>4</xdr:row>
          <xdr:rowOff>0</xdr:rowOff>
        </xdr:from>
        <xdr:to>
          <xdr:col>3</xdr:col>
          <xdr:colOff>676275</xdr:colOff>
          <xdr:row>4</xdr:row>
          <xdr:rowOff>228600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1B6F39EF-5E16-4DCC-9A7F-2746D07BF6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算出方法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&#20581;&#19968;&#37070;\&#20181;&#20107;\11&#21508;&#31278;&#12503;&#12525;&#12464;&#12521;&#12512;\GradeProcessing\&#25104;&#32318;&#20966;&#29702;.xlsm" TargetMode="External"/><Relationship Id="rId1" Type="http://schemas.openxmlformats.org/officeDocument/2006/relationships/externalLinkPath" Target="&#25104;&#32318;&#20966;&#2970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ENU"/>
      <sheetName val="名簿"/>
      <sheetName val="テスト入力"/>
      <sheetName val="データ"/>
      <sheetName val="Subject"/>
      <sheetName val="Result"/>
      <sheetName val="IndividualAnalysis"/>
      <sheetName val="Setting"/>
      <sheetName val="追試管理メニュー"/>
      <sheetName val="追試管理シート"/>
    </sheetNames>
    <definedNames>
      <definedName name="AddRetestRoundUI"/>
      <definedName name="ApplyFinalScoreFormulasUI"/>
      <definedName name="CompleteRetestUI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5" Type="http://schemas.openxmlformats.org/officeDocument/2006/relationships/ctrlProp" Target="../ctrlProps/ctrlProp33.xml"/><Relationship Id="rId4" Type="http://schemas.openxmlformats.org/officeDocument/2006/relationships/ctrlProp" Target="../ctrlProps/ctrlProp3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53F26-4C9A-44F1-B9EB-F85E28D7AE1D}">
  <sheetPr codeName="sh_rt_menu_template"/>
  <dimension ref="A1:G22"/>
  <sheetViews>
    <sheetView workbookViewId="0"/>
  </sheetViews>
  <sheetFormatPr defaultRowHeight="18.75" x14ac:dyDescent="0.4"/>
  <cols>
    <col min="5" max="5" width="10.375" customWidth="1"/>
    <col min="7" max="7" width="20" customWidth="1"/>
  </cols>
  <sheetData>
    <row r="1" spans="1:7" ht="33" x14ac:dyDescent="0.4">
      <c r="A1" s="1" t="s">
        <v>0</v>
      </c>
    </row>
    <row r="2" spans="1:7" ht="57" customHeight="1" x14ac:dyDescent="0.4"/>
    <row r="3" spans="1:7" x14ac:dyDescent="0.4">
      <c r="A3" t="s">
        <v>1</v>
      </c>
      <c r="E3" t="s">
        <v>2</v>
      </c>
      <c r="F3" t="s">
        <v>3</v>
      </c>
    </row>
    <row r="4" spans="1:7" x14ac:dyDescent="0.4">
      <c r="A4" t="s">
        <v>4</v>
      </c>
      <c r="E4" t="s">
        <v>5</v>
      </c>
    </row>
    <row r="5" spans="1:7" x14ac:dyDescent="0.4">
      <c r="A5" t="s">
        <v>6</v>
      </c>
      <c r="E5" t="s">
        <v>7</v>
      </c>
      <c r="F5" t="s">
        <v>8</v>
      </c>
    </row>
    <row r="6" spans="1:7" x14ac:dyDescent="0.4">
      <c r="A6" t="s">
        <v>9</v>
      </c>
    </row>
    <row r="7" spans="1:7" x14ac:dyDescent="0.4">
      <c r="A7" t="s">
        <v>10</v>
      </c>
    </row>
    <row r="8" spans="1:7" x14ac:dyDescent="0.4">
      <c r="A8" t="s">
        <v>11</v>
      </c>
    </row>
    <row r="11" spans="1:7" x14ac:dyDescent="0.4">
      <c r="A11" t="s">
        <v>12</v>
      </c>
      <c r="B11" t="s">
        <v>13</v>
      </c>
      <c r="C11" t="s">
        <v>14</v>
      </c>
      <c r="D11" t="s">
        <v>15</v>
      </c>
      <c r="E11" t="s">
        <v>16</v>
      </c>
      <c r="F11" t="s">
        <v>17</v>
      </c>
    </row>
    <row r="12" spans="1:7" x14ac:dyDescent="0.4">
      <c r="A12" t="s">
        <v>18</v>
      </c>
      <c r="B12" t="s">
        <v>19</v>
      </c>
      <c r="C12" t="s">
        <v>20</v>
      </c>
      <c r="D12" t="s">
        <v>21</v>
      </c>
      <c r="E12" t="s">
        <v>71</v>
      </c>
      <c r="F12">
        <f ca="1">COUNTBLANK(INDIRECT("'M004_asdfghjkl_知技'!E12:E51"))</f>
        <v>10</v>
      </c>
      <c r="G12" t="s">
        <v>70</v>
      </c>
    </row>
    <row r="13" spans="1:7" x14ac:dyDescent="0.4">
      <c r="A13" t="s">
        <v>72</v>
      </c>
      <c r="B13" t="s">
        <v>19</v>
      </c>
      <c r="C13" t="s">
        <v>73</v>
      </c>
      <c r="D13" t="s">
        <v>74</v>
      </c>
      <c r="E13" t="s">
        <v>80</v>
      </c>
      <c r="F13">
        <f ca="1">COUNTBLANK(INDIRECT("'M005_kjhgf_思判表'!E12:E51"))</f>
        <v>40</v>
      </c>
      <c r="G13" t="s">
        <v>76</v>
      </c>
    </row>
    <row r="14" spans="1:7" x14ac:dyDescent="0.4">
      <c r="A14" t="s">
        <v>77</v>
      </c>
      <c r="B14" t="s">
        <v>19</v>
      </c>
      <c r="C14" t="s">
        <v>78</v>
      </c>
      <c r="D14" t="s">
        <v>21</v>
      </c>
      <c r="E14" t="s">
        <v>80</v>
      </c>
      <c r="F14">
        <f ca="1">COUNTBLANK(INDIRECT("'M006_iuytr_知技'!E12:E51"))</f>
        <v>40</v>
      </c>
      <c r="G14" t="s">
        <v>79</v>
      </c>
    </row>
    <row r="15" spans="1:7" x14ac:dyDescent="0.4">
      <c r="A15" t="s">
        <v>81</v>
      </c>
      <c r="B15" t="s">
        <v>82</v>
      </c>
      <c r="C15" t="s">
        <v>83</v>
      </c>
      <c r="D15" t="s">
        <v>21</v>
      </c>
      <c r="E15" t="s">
        <v>75</v>
      </c>
      <c r="F15">
        <f ca="1">COUNTBLANK(INDIRECT("'J011_84stdh_知技'!E12:E51"))</f>
        <v>40</v>
      </c>
      <c r="G15" t="s">
        <v>84</v>
      </c>
    </row>
    <row r="16" spans="1:7" x14ac:dyDescent="0.4">
      <c r="A16" t="s">
        <v>86</v>
      </c>
      <c r="B16" t="s">
        <v>82</v>
      </c>
      <c r="C16" t="s">
        <v>87</v>
      </c>
      <c r="D16" t="s">
        <v>21</v>
      </c>
      <c r="E16" t="s">
        <v>75</v>
      </c>
      <c r="F16">
        <f ca="1">COUNTBLANK(INDIRECT("'J012_ahjlfg_知技'!E14:E53"))</f>
        <v>40</v>
      </c>
      <c r="G16" t="s">
        <v>88</v>
      </c>
    </row>
    <row r="17" spans="1:7" x14ac:dyDescent="0.4">
      <c r="A17" t="s">
        <v>89</v>
      </c>
      <c r="B17" t="s">
        <v>90</v>
      </c>
      <c r="C17" t="s">
        <v>91</v>
      </c>
      <c r="D17" t="s">
        <v>74</v>
      </c>
      <c r="E17" t="s">
        <v>71</v>
      </c>
      <c r="F17">
        <f ca="1">COUNTBLANK(INDIRECT("'R001_fs9g876dwah_思判表'!E14:E53"))</f>
        <v>20</v>
      </c>
      <c r="G17" t="s">
        <v>92</v>
      </c>
    </row>
    <row r="18" spans="1:7" x14ac:dyDescent="0.4">
      <c r="A18" t="s">
        <v>98</v>
      </c>
      <c r="B18" t="s">
        <v>99</v>
      </c>
      <c r="C18" t="s">
        <v>100</v>
      </c>
      <c r="D18" t="s">
        <v>21</v>
      </c>
      <c r="E18" t="s">
        <v>75</v>
      </c>
      <c r="F18">
        <f ca="1">COUNTBLANK(INDIRECT("'S005_test23_知技'!E11:E50"))</f>
        <v>40</v>
      </c>
      <c r="G18" t="s">
        <v>101</v>
      </c>
    </row>
    <row r="19" spans="1:7" x14ac:dyDescent="0.4">
      <c r="A19" t="s">
        <v>102</v>
      </c>
      <c r="B19" t="s">
        <v>19</v>
      </c>
      <c r="C19" t="s">
        <v>103</v>
      </c>
      <c r="D19" t="s">
        <v>74</v>
      </c>
      <c r="E19" t="s">
        <v>75</v>
      </c>
      <c r="F19">
        <f ca="1">COUNTBLANK(INDIRECT("'M007_test24_思判表'!E11:E50"))</f>
        <v>40</v>
      </c>
      <c r="G19" t="s">
        <v>104</v>
      </c>
    </row>
    <row r="20" spans="1:7" x14ac:dyDescent="0.4">
      <c r="A20" t="s">
        <v>102</v>
      </c>
      <c r="B20" t="s">
        <v>19</v>
      </c>
      <c r="C20" t="s">
        <v>103</v>
      </c>
      <c r="D20" t="s">
        <v>74</v>
      </c>
      <c r="E20" t="s">
        <v>75</v>
      </c>
      <c r="F20">
        <f ca="1">COUNTBLANK(INDIRECT("'M007_test24_思判表_1'!E11:E50"))</f>
        <v>40</v>
      </c>
      <c r="G20" t="s">
        <v>105</v>
      </c>
    </row>
    <row r="21" spans="1:7" x14ac:dyDescent="0.4">
      <c r="A21" t="s">
        <v>102</v>
      </c>
      <c r="B21" t="s">
        <v>19</v>
      </c>
      <c r="C21" t="s">
        <v>103</v>
      </c>
      <c r="D21" t="s">
        <v>74</v>
      </c>
      <c r="E21" t="s">
        <v>75</v>
      </c>
      <c r="F21">
        <f ca="1">COUNTBLANK(INDIRECT("'M007_test24_思判表_2'!E11:E50"))</f>
        <v>40</v>
      </c>
      <c r="G21" t="s">
        <v>106</v>
      </c>
    </row>
    <row r="22" spans="1:7" x14ac:dyDescent="0.4">
      <c r="A22" t="s">
        <v>107</v>
      </c>
      <c r="B22" t="s">
        <v>82</v>
      </c>
      <c r="C22" t="s">
        <v>108</v>
      </c>
      <c r="D22" t="s">
        <v>21</v>
      </c>
      <c r="E22" t="s">
        <v>75</v>
      </c>
      <c r="F22">
        <f ca="1">COUNTBLANK(INDIRECT("'J013_てｓｔ２４５_知技'!E11:E50"))</f>
        <v>40</v>
      </c>
      <c r="G22" t="s">
        <v>109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1]!ApplyFinalScoreFormulasUI">
                <anchor moveWithCells="1" sizeWithCells="1">
                  <from>
                    <xdr:col>0</xdr:col>
                    <xdr:colOff>57150</xdr:colOff>
                    <xdr:row>1</xdr:row>
                    <xdr:rowOff>47625</xdr:rowOff>
                  </from>
                  <to>
                    <xdr:col>2</xdr:col>
                    <xdr:colOff>171450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1]!AddRetestRoundUI">
                <anchor moveWithCells="1" sizeWithCells="1">
                  <from>
                    <xdr:col>2</xdr:col>
                    <xdr:colOff>304800</xdr:colOff>
                    <xdr:row>1</xdr:row>
                    <xdr:rowOff>47625</xdr:rowOff>
                  </from>
                  <to>
                    <xdr:col>4</xdr:col>
                    <xdr:colOff>419100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1]!CompleteRetestUI">
                <anchor moveWithCells="1" sizeWithCells="1">
                  <from>
                    <xdr:col>4</xdr:col>
                    <xdr:colOff>581025</xdr:colOff>
                    <xdr:row>1</xdr:row>
                    <xdr:rowOff>47625</xdr:rowOff>
                  </from>
                  <to>
                    <xdr:col>7</xdr:col>
                    <xdr:colOff>9525</xdr:colOff>
                    <xdr:row>1</xdr:row>
                    <xdr:rowOff>619125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2583F-3C61-4380-9783-15E069025B40}">
  <sheetPr codeName="sh_rt_template2"/>
  <dimension ref="A1:F41"/>
  <sheetViews>
    <sheetView topLeftCell="A31" workbookViewId="0">
      <selection activeCell="E51" sqref="E51"/>
    </sheetView>
  </sheetViews>
  <sheetFormatPr defaultRowHeight="18.75" x14ac:dyDescent="0.4"/>
  <sheetData>
    <row r="1" spans="1:6" x14ac:dyDescent="0.4">
      <c r="A1" t="s">
        <v>0</v>
      </c>
    </row>
    <row r="2" spans="1:6" ht="57" customHeight="1" x14ac:dyDescent="0.4"/>
    <row r="3" spans="1:6" x14ac:dyDescent="0.4">
      <c r="A3" t="s">
        <v>1</v>
      </c>
      <c r="C3" t="s">
        <v>18</v>
      </c>
      <c r="E3" t="s">
        <v>2</v>
      </c>
      <c r="F3" t="s">
        <v>3</v>
      </c>
    </row>
    <row r="4" spans="1:6" x14ac:dyDescent="0.4">
      <c r="A4" t="s">
        <v>4</v>
      </c>
      <c r="C4" t="s">
        <v>19</v>
      </c>
      <c r="E4" t="s">
        <v>5</v>
      </c>
    </row>
    <row r="5" spans="1:6" x14ac:dyDescent="0.4">
      <c r="A5" t="s">
        <v>6</v>
      </c>
      <c r="C5" t="s">
        <v>20</v>
      </c>
      <c r="E5" t="s">
        <v>7</v>
      </c>
      <c r="F5" t="s">
        <v>71</v>
      </c>
    </row>
    <row r="6" spans="1:6" x14ac:dyDescent="0.4">
      <c r="A6" t="s">
        <v>9</v>
      </c>
      <c r="C6" t="s">
        <v>21</v>
      </c>
    </row>
    <row r="7" spans="1:6" x14ac:dyDescent="0.4">
      <c r="A7" t="s">
        <v>10</v>
      </c>
    </row>
    <row r="8" spans="1:6" x14ac:dyDescent="0.4">
      <c r="A8" t="s">
        <v>11</v>
      </c>
      <c r="C8">
        <v>100</v>
      </c>
    </row>
    <row r="11" spans="1:6" x14ac:dyDescent="0.4">
      <c r="A11" t="s">
        <v>12</v>
      </c>
      <c r="B11" t="s">
        <v>13</v>
      </c>
      <c r="C11" t="s">
        <v>14</v>
      </c>
      <c r="D11" t="s">
        <v>15</v>
      </c>
      <c r="E11" t="s">
        <v>16</v>
      </c>
      <c r="F11" t="s">
        <v>17</v>
      </c>
    </row>
    <row r="12" spans="1:6" x14ac:dyDescent="0.4">
      <c r="A12">
        <v>10010001</v>
      </c>
      <c r="B12" t="s">
        <v>22</v>
      </c>
      <c r="C12" t="s">
        <v>23</v>
      </c>
      <c r="D12">
        <v>100</v>
      </c>
      <c r="E12">
        <v>100</v>
      </c>
      <c r="F12">
        <f t="shared" ref="F12:F41" si="0">IF(D12="-","-",IF(COUNTA(E12:E12)=0,D12,MAX(D12,E12:E12)))</f>
        <v>100</v>
      </c>
    </row>
    <row r="13" spans="1:6" x14ac:dyDescent="0.4">
      <c r="A13">
        <v>10010002</v>
      </c>
      <c r="B13" t="s">
        <v>24</v>
      </c>
      <c r="C13" t="s">
        <v>25</v>
      </c>
      <c r="D13">
        <v>99</v>
      </c>
      <c r="E13">
        <v>99</v>
      </c>
      <c r="F13">
        <f t="shared" si="0"/>
        <v>99</v>
      </c>
    </row>
    <row r="14" spans="1:6" x14ac:dyDescent="0.4">
      <c r="A14">
        <v>10010003</v>
      </c>
      <c r="B14" t="s">
        <v>26</v>
      </c>
      <c r="C14" t="s">
        <v>27</v>
      </c>
      <c r="D14">
        <v>98</v>
      </c>
      <c r="E14">
        <v>98</v>
      </c>
      <c r="F14">
        <f t="shared" si="0"/>
        <v>98</v>
      </c>
    </row>
    <row r="15" spans="1:6" x14ac:dyDescent="0.4">
      <c r="A15">
        <v>10010004</v>
      </c>
      <c r="B15" t="s">
        <v>28</v>
      </c>
      <c r="C15" t="s">
        <v>29</v>
      </c>
      <c r="D15">
        <v>97</v>
      </c>
      <c r="E15">
        <v>98</v>
      </c>
      <c r="F15">
        <f t="shared" si="0"/>
        <v>98</v>
      </c>
    </row>
    <row r="16" spans="1:6" x14ac:dyDescent="0.4">
      <c r="A16">
        <v>10010005</v>
      </c>
      <c r="B16" t="s">
        <v>30</v>
      </c>
      <c r="C16" t="s">
        <v>27</v>
      </c>
      <c r="D16">
        <v>96</v>
      </c>
      <c r="E16">
        <v>99</v>
      </c>
      <c r="F16">
        <f t="shared" si="0"/>
        <v>99</v>
      </c>
    </row>
    <row r="17" spans="1:6" x14ac:dyDescent="0.4">
      <c r="A17">
        <v>10010006</v>
      </c>
      <c r="B17" t="s">
        <v>31</v>
      </c>
      <c r="C17" t="s">
        <v>25</v>
      </c>
      <c r="D17">
        <v>95</v>
      </c>
      <c r="E17">
        <v>99</v>
      </c>
      <c r="F17">
        <f t="shared" si="0"/>
        <v>99</v>
      </c>
    </row>
    <row r="18" spans="1:6" x14ac:dyDescent="0.4">
      <c r="A18">
        <v>10010007</v>
      </c>
      <c r="B18" t="s">
        <v>32</v>
      </c>
      <c r="C18" t="s">
        <v>33</v>
      </c>
      <c r="D18">
        <v>94</v>
      </c>
      <c r="E18">
        <v>95</v>
      </c>
      <c r="F18">
        <f t="shared" si="0"/>
        <v>95</v>
      </c>
    </row>
    <row r="19" spans="1:6" x14ac:dyDescent="0.4">
      <c r="A19">
        <v>10010008</v>
      </c>
      <c r="B19" t="s">
        <v>34</v>
      </c>
      <c r="C19" t="s">
        <v>35</v>
      </c>
      <c r="D19">
        <v>93</v>
      </c>
      <c r="E19">
        <v>90</v>
      </c>
      <c r="F19">
        <f t="shared" si="0"/>
        <v>93</v>
      </c>
    </row>
    <row r="20" spans="1:6" x14ac:dyDescent="0.4">
      <c r="A20">
        <v>10010009</v>
      </c>
      <c r="B20" t="s">
        <v>36</v>
      </c>
      <c r="C20" t="s">
        <v>37</v>
      </c>
      <c r="D20">
        <v>92</v>
      </c>
      <c r="E20">
        <v>90</v>
      </c>
      <c r="F20">
        <f t="shared" si="0"/>
        <v>92</v>
      </c>
    </row>
    <row r="21" spans="1:6" x14ac:dyDescent="0.4">
      <c r="A21">
        <v>10010010</v>
      </c>
      <c r="B21" t="s">
        <v>38</v>
      </c>
      <c r="C21" t="s">
        <v>39</v>
      </c>
      <c r="D21">
        <v>91</v>
      </c>
      <c r="E21">
        <v>91</v>
      </c>
      <c r="F21">
        <f t="shared" si="0"/>
        <v>91</v>
      </c>
    </row>
    <row r="22" spans="1:6" x14ac:dyDescent="0.4">
      <c r="A22">
        <v>10010011</v>
      </c>
      <c r="B22" t="s">
        <v>40</v>
      </c>
      <c r="C22" t="s">
        <v>41</v>
      </c>
      <c r="D22">
        <v>90</v>
      </c>
      <c r="E22">
        <v>90</v>
      </c>
      <c r="F22">
        <f t="shared" si="0"/>
        <v>90</v>
      </c>
    </row>
    <row r="23" spans="1:6" x14ac:dyDescent="0.4">
      <c r="A23">
        <v>10010012</v>
      </c>
      <c r="B23" t="s">
        <v>42</v>
      </c>
      <c r="C23" t="s">
        <v>43</v>
      </c>
      <c r="D23">
        <v>89</v>
      </c>
      <c r="E23">
        <v>90</v>
      </c>
      <c r="F23">
        <f t="shared" si="0"/>
        <v>90</v>
      </c>
    </row>
    <row r="24" spans="1:6" x14ac:dyDescent="0.4">
      <c r="A24">
        <v>10010013</v>
      </c>
      <c r="B24" t="s">
        <v>44</v>
      </c>
      <c r="C24" t="s">
        <v>37</v>
      </c>
      <c r="D24">
        <v>88</v>
      </c>
      <c r="E24">
        <v>99</v>
      </c>
      <c r="F24">
        <f t="shared" si="0"/>
        <v>99</v>
      </c>
    </row>
    <row r="25" spans="1:6" x14ac:dyDescent="0.4">
      <c r="A25">
        <v>10010014</v>
      </c>
      <c r="B25" t="s">
        <v>45</v>
      </c>
      <c r="C25" t="s">
        <v>46</v>
      </c>
      <c r="D25">
        <v>87</v>
      </c>
      <c r="E25">
        <v>90</v>
      </c>
      <c r="F25">
        <f t="shared" si="0"/>
        <v>90</v>
      </c>
    </row>
    <row r="26" spans="1:6" x14ac:dyDescent="0.4">
      <c r="A26">
        <v>10010015</v>
      </c>
      <c r="B26" t="s">
        <v>47</v>
      </c>
      <c r="C26" t="s">
        <v>37</v>
      </c>
      <c r="D26">
        <v>86</v>
      </c>
      <c r="E26">
        <v>90</v>
      </c>
      <c r="F26">
        <f t="shared" si="0"/>
        <v>90</v>
      </c>
    </row>
    <row r="27" spans="1:6" x14ac:dyDescent="0.4">
      <c r="A27">
        <v>10010016</v>
      </c>
      <c r="B27" t="s">
        <v>48</v>
      </c>
      <c r="C27" t="s">
        <v>46</v>
      </c>
      <c r="D27">
        <v>85</v>
      </c>
      <c r="E27">
        <v>90</v>
      </c>
      <c r="F27">
        <f t="shared" si="0"/>
        <v>90</v>
      </c>
    </row>
    <row r="28" spans="1:6" x14ac:dyDescent="0.4">
      <c r="A28">
        <v>10010017</v>
      </c>
      <c r="B28" t="s">
        <v>49</v>
      </c>
      <c r="C28" t="s">
        <v>50</v>
      </c>
      <c r="D28">
        <v>84</v>
      </c>
      <c r="E28">
        <v>90</v>
      </c>
      <c r="F28">
        <f t="shared" si="0"/>
        <v>90</v>
      </c>
    </row>
    <row r="29" spans="1:6" x14ac:dyDescent="0.4">
      <c r="A29">
        <v>10010018</v>
      </c>
      <c r="B29" t="s">
        <v>51</v>
      </c>
      <c r="C29" t="s">
        <v>25</v>
      </c>
      <c r="D29">
        <v>83</v>
      </c>
      <c r="E29">
        <v>90</v>
      </c>
      <c r="F29">
        <f t="shared" si="0"/>
        <v>90</v>
      </c>
    </row>
    <row r="30" spans="1:6" x14ac:dyDescent="0.4">
      <c r="A30">
        <v>10010019</v>
      </c>
      <c r="B30" t="s">
        <v>52</v>
      </c>
      <c r="C30" t="s">
        <v>53</v>
      </c>
      <c r="D30">
        <v>82</v>
      </c>
      <c r="E30">
        <v>90</v>
      </c>
      <c r="F30">
        <f t="shared" si="0"/>
        <v>90</v>
      </c>
    </row>
    <row r="31" spans="1:6" x14ac:dyDescent="0.4">
      <c r="A31">
        <v>10010020</v>
      </c>
      <c r="B31" t="s">
        <v>54</v>
      </c>
      <c r="C31" t="s">
        <v>46</v>
      </c>
      <c r="D31">
        <v>81</v>
      </c>
      <c r="E31">
        <v>95</v>
      </c>
      <c r="F31">
        <f t="shared" si="0"/>
        <v>95</v>
      </c>
    </row>
    <row r="32" spans="1:6" x14ac:dyDescent="0.4">
      <c r="A32">
        <v>10010021</v>
      </c>
      <c r="B32" t="s">
        <v>55</v>
      </c>
      <c r="C32" t="s">
        <v>56</v>
      </c>
      <c r="D32">
        <v>80</v>
      </c>
      <c r="E32">
        <v>95</v>
      </c>
      <c r="F32">
        <f t="shared" si="0"/>
        <v>95</v>
      </c>
    </row>
    <row r="33" spans="1:6" x14ac:dyDescent="0.4">
      <c r="A33">
        <v>10010022</v>
      </c>
      <c r="B33" t="s">
        <v>57</v>
      </c>
      <c r="C33" t="s">
        <v>25</v>
      </c>
      <c r="D33">
        <v>79</v>
      </c>
      <c r="E33">
        <v>95</v>
      </c>
      <c r="F33">
        <f t="shared" si="0"/>
        <v>95</v>
      </c>
    </row>
    <row r="34" spans="1:6" x14ac:dyDescent="0.4">
      <c r="A34">
        <v>10010023</v>
      </c>
      <c r="B34" t="s">
        <v>58</v>
      </c>
      <c r="C34" t="s">
        <v>59</v>
      </c>
      <c r="D34">
        <v>78</v>
      </c>
      <c r="E34">
        <v>95</v>
      </c>
      <c r="F34">
        <f t="shared" si="0"/>
        <v>95</v>
      </c>
    </row>
    <row r="35" spans="1:6" x14ac:dyDescent="0.4">
      <c r="A35">
        <v>10010024</v>
      </c>
      <c r="B35" t="s">
        <v>60</v>
      </c>
      <c r="C35" t="s">
        <v>43</v>
      </c>
      <c r="D35">
        <v>77</v>
      </c>
      <c r="E35">
        <v>95</v>
      </c>
      <c r="F35">
        <f t="shared" si="0"/>
        <v>95</v>
      </c>
    </row>
    <row r="36" spans="1:6" x14ac:dyDescent="0.4">
      <c r="A36">
        <v>10010025</v>
      </c>
      <c r="B36" t="s">
        <v>61</v>
      </c>
      <c r="C36" t="s">
        <v>62</v>
      </c>
      <c r="D36">
        <v>76</v>
      </c>
      <c r="E36">
        <v>94</v>
      </c>
      <c r="F36">
        <f t="shared" si="0"/>
        <v>94</v>
      </c>
    </row>
    <row r="37" spans="1:6" x14ac:dyDescent="0.4">
      <c r="A37">
        <v>10010026</v>
      </c>
      <c r="B37" t="s">
        <v>63</v>
      </c>
      <c r="C37" t="s">
        <v>64</v>
      </c>
      <c r="D37">
        <v>75</v>
      </c>
      <c r="E37">
        <v>90</v>
      </c>
      <c r="F37">
        <f t="shared" si="0"/>
        <v>90</v>
      </c>
    </row>
    <row r="38" spans="1:6" x14ac:dyDescent="0.4">
      <c r="A38">
        <v>10010027</v>
      </c>
      <c r="B38" t="s">
        <v>65</v>
      </c>
      <c r="C38" t="s">
        <v>50</v>
      </c>
      <c r="D38">
        <v>74</v>
      </c>
      <c r="E38">
        <v>94</v>
      </c>
      <c r="F38">
        <f t="shared" si="0"/>
        <v>94</v>
      </c>
    </row>
    <row r="39" spans="1:6" x14ac:dyDescent="0.4">
      <c r="A39">
        <v>10010028</v>
      </c>
      <c r="B39" t="s">
        <v>66</v>
      </c>
      <c r="C39" t="s">
        <v>25</v>
      </c>
      <c r="D39">
        <v>73</v>
      </c>
      <c r="E39">
        <v>94</v>
      </c>
      <c r="F39">
        <f t="shared" si="0"/>
        <v>94</v>
      </c>
    </row>
    <row r="40" spans="1:6" x14ac:dyDescent="0.4">
      <c r="A40">
        <v>10010029</v>
      </c>
      <c r="B40" t="s">
        <v>67</v>
      </c>
      <c r="C40" t="s">
        <v>62</v>
      </c>
      <c r="D40">
        <v>72</v>
      </c>
      <c r="E40">
        <v>94</v>
      </c>
      <c r="F40">
        <f t="shared" si="0"/>
        <v>94</v>
      </c>
    </row>
    <row r="41" spans="1:6" x14ac:dyDescent="0.4">
      <c r="A41">
        <v>10010030</v>
      </c>
      <c r="B41" t="s">
        <v>68</v>
      </c>
      <c r="C41" t="s">
        <v>69</v>
      </c>
      <c r="D41">
        <v>71</v>
      </c>
      <c r="E41">
        <v>97</v>
      </c>
      <c r="F41">
        <f t="shared" si="0"/>
        <v>97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1]!ApplyFinalScoreFormulasUI">
                <anchor moveWithCells="1" sizeWithCells="1">
                  <from>
                    <xdr:col>0</xdr:col>
                    <xdr:colOff>57150</xdr:colOff>
                    <xdr:row>1</xdr:row>
                    <xdr:rowOff>47625</xdr:rowOff>
                  </from>
                  <to>
                    <xdr:col>2</xdr:col>
                    <xdr:colOff>171450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1]!AddRetestRoundUI">
                <anchor moveWithCells="1" sizeWithCells="1">
                  <from>
                    <xdr:col>2</xdr:col>
                    <xdr:colOff>304800</xdr:colOff>
                    <xdr:row>1</xdr:row>
                    <xdr:rowOff>47625</xdr:rowOff>
                  </from>
                  <to>
                    <xdr:col>4</xdr:col>
                    <xdr:colOff>419100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1]!CompleteRetestUI">
                <anchor moveWithCells="1" sizeWithCells="1">
                  <from>
                    <xdr:col>4</xdr:col>
                    <xdr:colOff>581025</xdr:colOff>
                    <xdr:row>1</xdr:row>
                    <xdr:rowOff>47625</xdr:rowOff>
                  </from>
                  <to>
                    <xdr:col>7</xdr:col>
                    <xdr:colOff>9525</xdr:colOff>
                    <xdr:row>1</xdr:row>
                    <xdr:rowOff>619125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99D26-3D8F-4CCC-8191-4D880A019E80}">
  <sheetPr codeName="sh_rt_template1"/>
  <dimension ref="A1:F41"/>
  <sheetViews>
    <sheetView workbookViewId="0">
      <selection activeCell="D11" sqref="D11"/>
    </sheetView>
  </sheetViews>
  <sheetFormatPr defaultRowHeight="18.75" x14ac:dyDescent="0.4"/>
  <sheetData>
    <row r="1" spans="1:6" x14ac:dyDescent="0.4">
      <c r="A1" t="s">
        <v>0</v>
      </c>
    </row>
    <row r="2" spans="1:6" ht="57" customHeight="1" x14ac:dyDescent="0.4"/>
    <row r="3" spans="1:6" x14ac:dyDescent="0.4">
      <c r="A3" t="s">
        <v>1</v>
      </c>
      <c r="C3" t="s">
        <v>72</v>
      </c>
      <c r="E3" t="s">
        <v>2</v>
      </c>
      <c r="F3" t="s">
        <v>3</v>
      </c>
    </row>
    <row r="4" spans="1:6" x14ac:dyDescent="0.4">
      <c r="A4" t="s">
        <v>4</v>
      </c>
      <c r="C4" t="s">
        <v>19</v>
      </c>
      <c r="E4" t="s">
        <v>5</v>
      </c>
    </row>
    <row r="5" spans="1:6" x14ac:dyDescent="0.4">
      <c r="A5" t="s">
        <v>6</v>
      </c>
      <c r="C5" t="s">
        <v>73</v>
      </c>
      <c r="E5" t="s">
        <v>7</v>
      </c>
      <c r="F5" t="s">
        <v>8</v>
      </c>
    </row>
    <row r="6" spans="1:6" x14ac:dyDescent="0.4">
      <c r="A6" t="s">
        <v>9</v>
      </c>
      <c r="C6" t="s">
        <v>74</v>
      </c>
    </row>
    <row r="7" spans="1:6" x14ac:dyDescent="0.4">
      <c r="A7" t="s">
        <v>10</v>
      </c>
    </row>
    <row r="8" spans="1:6" x14ac:dyDescent="0.4">
      <c r="A8" t="s">
        <v>11</v>
      </c>
      <c r="C8">
        <v>100</v>
      </c>
    </row>
    <row r="11" spans="1:6" x14ac:dyDescent="0.4">
      <c r="A11" t="s">
        <v>12</v>
      </c>
      <c r="B11" t="s">
        <v>13</v>
      </c>
      <c r="C11" t="s">
        <v>14</v>
      </c>
      <c r="D11" t="s">
        <v>15</v>
      </c>
      <c r="E11" t="s">
        <v>16</v>
      </c>
      <c r="F11" t="s">
        <v>17</v>
      </c>
    </row>
    <row r="12" spans="1:6" x14ac:dyDescent="0.4">
      <c r="A12">
        <v>10010001</v>
      </c>
      <c r="B12" t="s">
        <v>22</v>
      </c>
      <c r="C12" t="s">
        <v>23</v>
      </c>
      <c r="D12">
        <v>60</v>
      </c>
    </row>
    <row r="13" spans="1:6" x14ac:dyDescent="0.4">
      <c r="A13">
        <v>10010002</v>
      </c>
      <c r="B13" t="s">
        <v>24</v>
      </c>
      <c r="C13" t="s">
        <v>25</v>
      </c>
      <c r="D13">
        <v>60</v>
      </c>
    </row>
    <row r="14" spans="1:6" x14ac:dyDescent="0.4">
      <c r="A14">
        <v>10010003</v>
      </c>
      <c r="B14" t="s">
        <v>26</v>
      </c>
      <c r="C14" t="s">
        <v>27</v>
      </c>
      <c r="D14">
        <v>60</v>
      </c>
    </row>
    <row r="15" spans="1:6" x14ac:dyDescent="0.4">
      <c r="A15">
        <v>10010004</v>
      </c>
      <c r="B15" t="s">
        <v>28</v>
      </c>
      <c r="C15" t="s">
        <v>29</v>
      </c>
      <c r="D15">
        <v>60</v>
      </c>
    </row>
    <row r="16" spans="1:6" x14ac:dyDescent="0.4">
      <c r="A16">
        <v>10010005</v>
      </c>
      <c r="B16" t="s">
        <v>30</v>
      </c>
      <c r="C16" t="s">
        <v>27</v>
      </c>
      <c r="D16">
        <v>60</v>
      </c>
    </row>
    <row r="17" spans="1:4" x14ac:dyDescent="0.4">
      <c r="A17">
        <v>10010006</v>
      </c>
      <c r="B17" t="s">
        <v>31</v>
      </c>
      <c r="C17" t="s">
        <v>25</v>
      </c>
      <c r="D17">
        <v>60</v>
      </c>
    </row>
    <row r="18" spans="1:4" x14ac:dyDescent="0.4">
      <c r="A18">
        <v>10010007</v>
      </c>
      <c r="B18" t="s">
        <v>32</v>
      </c>
      <c r="C18" t="s">
        <v>33</v>
      </c>
      <c r="D18">
        <v>60</v>
      </c>
    </row>
    <row r="19" spans="1:4" x14ac:dyDescent="0.4">
      <c r="A19">
        <v>10010008</v>
      </c>
      <c r="B19" t="s">
        <v>34</v>
      </c>
      <c r="C19" t="s">
        <v>35</v>
      </c>
      <c r="D19">
        <v>60</v>
      </c>
    </row>
    <row r="20" spans="1:4" x14ac:dyDescent="0.4">
      <c r="A20">
        <v>10010009</v>
      </c>
      <c r="B20" t="s">
        <v>36</v>
      </c>
      <c r="C20" t="s">
        <v>37</v>
      </c>
      <c r="D20">
        <v>60</v>
      </c>
    </row>
    <row r="21" spans="1:4" x14ac:dyDescent="0.4">
      <c r="A21">
        <v>10010010</v>
      </c>
      <c r="B21" t="s">
        <v>38</v>
      </c>
      <c r="C21" t="s">
        <v>39</v>
      </c>
      <c r="D21">
        <v>60</v>
      </c>
    </row>
    <row r="22" spans="1:4" x14ac:dyDescent="0.4">
      <c r="A22">
        <v>10010011</v>
      </c>
      <c r="B22" t="s">
        <v>40</v>
      </c>
      <c r="C22" t="s">
        <v>41</v>
      </c>
      <c r="D22">
        <v>60</v>
      </c>
    </row>
    <row r="23" spans="1:4" x14ac:dyDescent="0.4">
      <c r="A23">
        <v>10010012</v>
      </c>
      <c r="B23" t="s">
        <v>42</v>
      </c>
      <c r="C23" t="s">
        <v>43</v>
      </c>
      <c r="D23">
        <v>60</v>
      </c>
    </row>
    <row r="24" spans="1:4" x14ac:dyDescent="0.4">
      <c r="A24">
        <v>10010013</v>
      </c>
      <c r="B24" t="s">
        <v>44</v>
      </c>
      <c r="C24" t="s">
        <v>37</v>
      </c>
      <c r="D24">
        <v>60</v>
      </c>
    </row>
    <row r="25" spans="1:4" x14ac:dyDescent="0.4">
      <c r="A25">
        <v>10010014</v>
      </c>
      <c r="B25" t="s">
        <v>45</v>
      </c>
      <c r="C25" t="s">
        <v>46</v>
      </c>
      <c r="D25">
        <v>60</v>
      </c>
    </row>
    <row r="26" spans="1:4" x14ac:dyDescent="0.4">
      <c r="A26">
        <v>10010015</v>
      </c>
      <c r="B26" t="s">
        <v>47</v>
      </c>
      <c r="C26" t="s">
        <v>37</v>
      </c>
      <c r="D26">
        <v>60</v>
      </c>
    </row>
    <row r="27" spans="1:4" x14ac:dyDescent="0.4">
      <c r="A27">
        <v>10010016</v>
      </c>
      <c r="B27" t="s">
        <v>48</v>
      </c>
      <c r="C27" t="s">
        <v>46</v>
      </c>
      <c r="D27">
        <v>60</v>
      </c>
    </row>
    <row r="28" spans="1:4" x14ac:dyDescent="0.4">
      <c r="A28">
        <v>10010017</v>
      </c>
      <c r="B28" t="s">
        <v>49</v>
      </c>
      <c r="C28" t="s">
        <v>50</v>
      </c>
      <c r="D28">
        <v>60</v>
      </c>
    </row>
    <row r="29" spans="1:4" x14ac:dyDescent="0.4">
      <c r="A29">
        <v>10010018</v>
      </c>
      <c r="B29" t="s">
        <v>51</v>
      </c>
      <c r="C29" t="s">
        <v>25</v>
      </c>
      <c r="D29">
        <v>60</v>
      </c>
    </row>
    <row r="30" spans="1:4" x14ac:dyDescent="0.4">
      <c r="A30">
        <v>10010019</v>
      </c>
      <c r="B30" t="s">
        <v>52</v>
      </c>
      <c r="C30" t="s">
        <v>53</v>
      </c>
      <c r="D30">
        <v>60</v>
      </c>
    </row>
    <row r="31" spans="1:4" x14ac:dyDescent="0.4">
      <c r="A31">
        <v>10010020</v>
      </c>
      <c r="B31" t="s">
        <v>54</v>
      </c>
      <c r="C31" t="s">
        <v>46</v>
      </c>
      <c r="D31">
        <v>60</v>
      </c>
    </row>
    <row r="32" spans="1:4" x14ac:dyDescent="0.4">
      <c r="A32">
        <v>10010021</v>
      </c>
      <c r="B32" t="s">
        <v>55</v>
      </c>
      <c r="C32" t="s">
        <v>56</v>
      </c>
      <c r="D32">
        <v>60</v>
      </c>
    </row>
    <row r="33" spans="1:4" x14ac:dyDescent="0.4">
      <c r="A33">
        <v>10010022</v>
      </c>
      <c r="B33" t="s">
        <v>57</v>
      </c>
      <c r="C33" t="s">
        <v>25</v>
      </c>
      <c r="D33">
        <v>60</v>
      </c>
    </row>
    <row r="34" spans="1:4" x14ac:dyDescent="0.4">
      <c r="A34">
        <v>10010023</v>
      </c>
      <c r="B34" t="s">
        <v>58</v>
      </c>
      <c r="C34" t="s">
        <v>59</v>
      </c>
      <c r="D34">
        <v>60</v>
      </c>
    </row>
    <row r="35" spans="1:4" x14ac:dyDescent="0.4">
      <c r="A35">
        <v>10010024</v>
      </c>
      <c r="B35" t="s">
        <v>60</v>
      </c>
      <c r="C35" t="s">
        <v>43</v>
      </c>
      <c r="D35">
        <v>60</v>
      </c>
    </row>
    <row r="36" spans="1:4" x14ac:dyDescent="0.4">
      <c r="A36">
        <v>10010025</v>
      </c>
      <c r="B36" t="s">
        <v>61</v>
      </c>
      <c r="C36" t="s">
        <v>62</v>
      </c>
      <c r="D36">
        <v>60</v>
      </c>
    </row>
    <row r="37" spans="1:4" x14ac:dyDescent="0.4">
      <c r="A37">
        <v>10010026</v>
      </c>
      <c r="B37" t="s">
        <v>63</v>
      </c>
      <c r="C37" t="s">
        <v>64</v>
      </c>
      <c r="D37">
        <v>60</v>
      </c>
    </row>
    <row r="38" spans="1:4" x14ac:dyDescent="0.4">
      <c r="A38">
        <v>10010027</v>
      </c>
      <c r="B38" t="s">
        <v>65</v>
      </c>
      <c r="C38" t="s">
        <v>50</v>
      </c>
      <c r="D38">
        <v>60</v>
      </c>
    </row>
    <row r="39" spans="1:4" x14ac:dyDescent="0.4">
      <c r="A39">
        <v>10010028</v>
      </c>
      <c r="B39" t="s">
        <v>66</v>
      </c>
      <c r="C39" t="s">
        <v>25</v>
      </c>
      <c r="D39">
        <v>60</v>
      </c>
    </row>
    <row r="40" spans="1:4" x14ac:dyDescent="0.4">
      <c r="A40">
        <v>10010029</v>
      </c>
      <c r="B40" t="s">
        <v>67</v>
      </c>
      <c r="C40" t="s">
        <v>62</v>
      </c>
      <c r="D40">
        <v>60</v>
      </c>
    </row>
    <row r="41" spans="1:4" x14ac:dyDescent="0.4">
      <c r="A41">
        <v>10010030</v>
      </c>
      <c r="B41" t="s">
        <v>68</v>
      </c>
      <c r="C41" t="s">
        <v>69</v>
      </c>
      <c r="D41">
        <v>60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1]!ApplyFinalScoreFormulasUI">
                <anchor moveWithCells="1" sizeWithCells="1">
                  <from>
                    <xdr:col>0</xdr:col>
                    <xdr:colOff>57150</xdr:colOff>
                    <xdr:row>1</xdr:row>
                    <xdr:rowOff>47625</xdr:rowOff>
                  </from>
                  <to>
                    <xdr:col>2</xdr:col>
                    <xdr:colOff>171450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1]!AddRetestRoundUI">
                <anchor moveWithCells="1" sizeWithCells="1">
                  <from>
                    <xdr:col>2</xdr:col>
                    <xdr:colOff>304800</xdr:colOff>
                    <xdr:row>1</xdr:row>
                    <xdr:rowOff>47625</xdr:rowOff>
                  </from>
                  <to>
                    <xdr:col>4</xdr:col>
                    <xdr:colOff>419100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1]!CompleteRetestUI">
                <anchor moveWithCells="1" sizeWithCells="1">
                  <from>
                    <xdr:col>4</xdr:col>
                    <xdr:colOff>581025</xdr:colOff>
                    <xdr:row>1</xdr:row>
                    <xdr:rowOff>47625</xdr:rowOff>
                  </from>
                  <to>
                    <xdr:col>7</xdr:col>
                    <xdr:colOff>9525</xdr:colOff>
                    <xdr:row>1</xdr:row>
                    <xdr:rowOff>619125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999B36-9D91-47F9-AF01-FB1D49333B06}">
  <sheetPr codeName="sh_rt_template11"/>
  <dimension ref="A1:F41"/>
  <sheetViews>
    <sheetView workbookViewId="0">
      <selection activeCell="D11" sqref="D11"/>
    </sheetView>
  </sheetViews>
  <sheetFormatPr defaultRowHeight="18.75" x14ac:dyDescent="0.4"/>
  <sheetData>
    <row r="1" spans="1:6" x14ac:dyDescent="0.4">
      <c r="A1" t="s">
        <v>0</v>
      </c>
    </row>
    <row r="2" spans="1:6" ht="57" customHeight="1" x14ac:dyDescent="0.4"/>
    <row r="3" spans="1:6" x14ac:dyDescent="0.4">
      <c r="A3" t="s">
        <v>1</v>
      </c>
      <c r="C3" t="s">
        <v>77</v>
      </c>
      <c r="E3" t="s">
        <v>2</v>
      </c>
      <c r="F3" t="s">
        <v>3</v>
      </c>
    </row>
    <row r="4" spans="1:6" x14ac:dyDescent="0.4">
      <c r="A4" t="s">
        <v>4</v>
      </c>
      <c r="C4" t="s">
        <v>19</v>
      </c>
      <c r="E4" t="s">
        <v>5</v>
      </c>
    </row>
    <row r="5" spans="1:6" x14ac:dyDescent="0.4">
      <c r="A5" t="s">
        <v>6</v>
      </c>
      <c r="C5" t="s">
        <v>78</v>
      </c>
      <c r="E5" t="s">
        <v>7</v>
      </c>
      <c r="F5" t="s">
        <v>8</v>
      </c>
    </row>
    <row r="6" spans="1:6" x14ac:dyDescent="0.4">
      <c r="A6" t="s">
        <v>9</v>
      </c>
      <c r="C6" t="s">
        <v>21</v>
      </c>
    </row>
    <row r="7" spans="1:6" x14ac:dyDescent="0.4">
      <c r="A7" t="s">
        <v>10</v>
      </c>
    </row>
    <row r="8" spans="1:6" x14ac:dyDescent="0.4">
      <c r="A8" t="s">
        <v>11</v>
      </c>
      <c r="C8">
        <v>30</v>
      </c>
    </row>
    <row r="11" spans="1:6" x14ac:dyDescent="0.4">
      <c r="A11" t="s">
        <v>12</v>
      </c>
      <c r="B11" t="s">
        <v>13</v>
      </c>
      <c r="C11" t="s">
        <v>14</v>
      </c>
      <c r="D11" t="s">
        <v>15</v>
      </c>
      <c r="E11" t="s">
        <v>16</v>
      </c>
      <c r="F11" t="s">
        <v>17</v>
      </c>
    </row>
    <row r="12" spans="1:6" x14ac:dyDescent="0.4">
      <c r="A12">
        <v>10010001</v>
      </c>
      <c r="B12" t="s">
        <v>22</v>
      </c>
      <c r="C12" t="s">
        <v>23</v>
      </c>
      <c r="D12">
        <v>25</v>
      </c>
    </row>
    <row r="13" spans="1:6" x14ac:dyDescent="0.4">
      <c r="A13">
        <v>10010002</v>
      </c>
      <c r="B13" t="s">
        <v>24</v>
      </c>
      <c r="C13" t="s">
        <v>25</v>
      </c>
      <c r="D13">
        <v>25</v>
      </c>
    </row>
    <row r="14" spans="1:6" x14ac:dyDescent="0.4">
      <c r="A14">
        <v>10010003</v>
      </c>
      <c r="B14" t="s">
        <v>26</v>
      </c>
      <c r="C14" t="s">
        <v>27</v>
      </c>
      <c r="D14">
        <v>25</v>
      </c>
    </row>
    <row r="15" spans="1:6" x14ac:dyDescent="0.4">
      <c r="A15">
        <v>10010004</v>
      </c>
      <c r="B15" t="s">
        <v>28</v>
      </c>
      <c r="C15" t="s">
        <v>29</v>
      </c>
      <c r="D15">
        <v>25</v>
      </c>
    </row>
    <row r="16" spans="1:6" x14ac:dyDescent="0.4">
      <c r="A16">
        <v>10010005</v>
      </c>
      <c r="B16" t="s">
        <v>30</v>
      </c>
      <c r="C16" t="s">
        <v>27</v>
      </c>
      <c r="D16">
        <v>25</v>
      </c>
    </row>
    <row r="17" spans="1:4" x14ac:dyDescent="0.4">
      <c r="A17">
        <v>10010006</v>
      </c>
      <c r="B17" t="s">
        <v>31</v>
      </c>
      <c r="C17" t="s">
        <v>25</v>
      </c>
      <c r="D17">
        <v>25</v>
      </c>
    </row>
    <row r="18" spans="1:4" x14ac:dyDescent="0.4">
      <c r="A18">
        <v>10010007</v>
      </c>
      <c r="B18" t="s">
        <v>32</v>
      </c>
      <c r="C18" t="s">
        <v>33</v>
      </c>
      <c r="D18">
        <v>25</v>
      </c>
    </row>
    <row r="19" spans="1:4" x14ac:dyDescent="0.4">
      <c r="A19">
        <v>10010008</v>
      </c>
      <c r="B19" t="s">
        <v>34</v>
      </c>
      <c r="C19" t="s">
        <v>35</v>
      </c>
      <c r="D19">
        <v>25</v>
      </c>
    </row>
    <row r="20" spans="1:4" x14ac:dyDescent="0.4">
      <c r="A20">
        <v>10010009</v>
      </c>
      <c r="B20" t="s">
        <v>36</v>
      </c>
      <c r="C20" t="s">
        <v>37</v>
      </c>
      <c r="D20">
        <v>25</v>
      </c>
    </row>
    <row r="21" spans="1:4" x14ac:dyDescent="0.4">
      <c r="A21">
        <v>10010010</v>
      </c>
      <c r="B21" t="s">
        <v>38</v>
      </c>
      <c r="C21" t="s">
        <v>39</v>
      </c>
      <c r="D21">
        <v>25</v>
      </c>
    </row>
    <row r="22" spans="1:4" x14ac:dyDescent="0.4">
      <c r="A22">
        <v>10010011</v>
      </c>
      <c r="B22" t="s">
        <v>40</v>
      </c>
      <c r="C22" t="s">
        <v>41</v>
      </c>
      <c r="D22">
        <v>25</v>
      </c>
    </row>
    <row r="23" spans="1:4" x14ac:dyDescent="0.4">
      <c r="A23">
        <v>10010012</v>
      </c>
      <c r="B23" t="s">
        <v>42</v>
      </c>
      <c r="C23" t="s">
        <v>43</v>
      </c>
      <c r="D23">
        <v>25</v>
      </c>
    </row>
    <row r="24" spans="1:4" x14ac:dyDescent="0.4">
      <c r="A24">
        <v>10010013</v>
      </c>
      <c r="B24" t="s">
        <v>44</v>
      </c>
      <c r="C24" t="s">
        <v>37</v>
      </c>
      <c r="D24">
        <v>25</v>
      </c>
    </row>
    <row r="25" spans="1:4" x14ac:dyDescent="0.4">
      <c r="A25">
        <v>10010014</v>
      </c>
      <c r="B25" t="s">
        <v>45</v>
      </c>
      <c r="C25" t="s">
        <v>46</v>
      </c>
      <c r="D25">
        <v>25</v>
      </c>
    </row>
    <row r="26" spans="1:4" x14ac:dyDescent="0.4">
      <c r="A26">
        <v>10010015</v>
      </c>
      <c r="B26" t="s">
        <v>47</v>
      </c>
      <c r="C26" t="s">
        <v>37</v>
      </c>
      <c r="D26">
        <v>25</v>
      </c>
    </row>
    <row r="27" spans="1:4" x14ac:dyDescent="0.4">
      <c r="A27">
        <v>10010016</v>
      </c>
      <c r="B27" t="s">
        <v>48</v>
      </c>
      <c r="C27" t="s">
        <v>46</v>
      </c>
      <c r="D27">
        <v>25</v>
      </c>
    </row>
    <row r="28" spans="1:4" x14ac:dyDescent="0.4">
      <c r="A28">
        <v>10010017</v>
      </c>
      <c r="B28" t="s">
        <v>49</v>
      </c>
      <c r="C28" t="s">
        <v>50</v>
      </c>
      <c r="D28">
        <v>25</v>
      </c>
    </row>
    <row r="29" spans="1:4" x14ac:dyDescent="0.4">
      <c r="A29">
        <v>10010018</v>
      </c>
      <c r="B29" t="s">
        <v>51</v>
      </c>
      <c r="C29" t="s">
        <v>25</v>
      </c>
      <c r="D29">
        <v>25</v>
      </c>
    </row>
    <row r="30" spans="1:4" x14ac:dyDescent="0.4">
      <c r="A30">
        <v>10010019</v>
      </c>
      <c r="B30" t="s">
        <v>52</v>
      </c>
      <c r="C30" t="s">
        <v>53</v>
      </c>
      <c r="D30">
        <v>25</v>
      </c>
    </row>
    <row r="31" spans="1:4" x14ac:dyDescent="0.4">
      <c r="A31">
        <v>10010020</v>
      </c>
      <c r="B31" t="s">
        <v>54</v>
      </c>
      <c r="C31" t="s">
        <v>46</v>
      </c>
      <c r="D31">
        <v>25</v>
      </c>
    </row>
    <row r="32" spans="1:4" x14ac:dyDescent="0.4">
      <c r="A32">
        <v>10010021</v>
      </c>
      <c r="B32" t="s">
        <v>55</v>
      </c>
      <c r="C32" t="s">
        <v>56</v>
      </c>
      <c r="D32">
        <v>25</v>
      </c>
    </row>
    <row r="33" spans="1:4" x14ac:dyDescent="0.4">
      <c r="A33">
        <v>10010022</v>
      </c>
      <c r="B33" t="s">
        <v>57</v>
      </c>
      <c r="C33" t="s">
        <v>25</v>
      </c>
      <c r="D33">
        <v>25</v>
      </c>
    </row>
    <row r="34" spans="1:4" x14ac:dyDescent="0.4">
      <c r="A34">
        <v>10010023</v>
      </c>
      <c r="B34" t="s">
        <v>58</v>
      </c>
      <c r="C34" t="s">
        <v>59</v>
      </c>
      <c r="D34">
        <v>25</v>
      </c>
    </row>
    <row r="35" spans="1:4" x14ac:dyDescent="0.4">
      <c r="A35">
        <v>10010024</v>
      </c>
      <c r="B35" t="s">
        <v>60</v>
      </c>
      <c r="C35" t="s">
        <v>43</v>
      </c>
      <c r="D35">
        <v>25</v>
      </c>
    </row>
    <row r="36" spans="1:4" x14ac:dyDescent="0.4">
      <c r="A36">
        <v>10010025</v>
      </c>
      <c r="B36" t="s">
        <v>61</v>
      </c>
      <c r="C36" t="s">
        <v>62</v>
      </c>
      <c r="D36">
        <v>25</v>
      </c>
    </row>
    <row r="37" spans="1:4" x14ac:dyDescent="0.4">
      <c r="A37">
        <v>10010026</v>
      </c>
      <c r="B37" t="s">
        <v>63</v>
      </c>
      <c r="C37" t="s">
        <v>64</v>
      </c>
      <c r="D37">
        <v>25</v>
      </c>
    </row>
    <row r="38" spans="1:4" x14ac:dyDescent="0.4">
      <c r="A38">
        <v>10010027</v>
      </c>
      <c r="B38" t="s">
        <v>65</v>
      </c>
      <c r="C38" t="s">
        <v>50</v>
      </c>
      <c r="D38">
        <v>25</v>
      </c>
    </row>
    <row r="39" spans="1:4" x14ac:dyDescent="0.4">
      <c r="A39">
        <v>10010028</v>
      </c>
      <c r="B39" t="s">
        <v>66</v>
      </c>
      <c r="C39" t="s">
        <v>25</v>
      </c>
      <c r="D39">
        <v>25</v>
      </c>
    </row>
    <row r="40" spans="1:4" x14ac:dyDescent="0.4">
      <c r="A40">
        <v>10010029</v>
      </c>
      <c r="B40" t="s">
        <v>67</v>
      </c>
      <c r="C40" t="s">
        <v>62</v>
      </c>
      <c r="D40">
        <v>25</v>
      </c>
    </row>
    <row r="41" spans="1:4" x14ac:dyDescent="0.4">
      <c r="A41">
        <v>10010030</v>
      </c>
      <c r="B41" t="s">
        <v>68</v>
      </c>
      <c r="C41" t="s">
        <v>69</v>
      </c>
      <c r="D41">
        <v>25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1]!ApplyFinalScoreFormulasUI">
                <anchor moveWithCells="1" sizeWithCells="1">
                  <from>
                    <xdr:col>0</xdr:col>
                    <xdr:colOff>57150</xdr:colOff>
                    <xdr:row>1</xdr:row>
                    <xdr:rowOff>47625</xdr:rowOff>
                  </from>
                  <to>
                    <xdr:col>2</xdr:col>
                    <xdr:colOff>171450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1]!AddRetestRoundUI">
                <anchor moveWithCells="1" sizeWithCells="1">
                  <from>
                    <xdr:col>2</xdr:col>
                    <xdr:colOff>304800</xdr:colOff>
                    <xdr:row>1</xdr:row>
                    <xdr:rowOff>47625</xdr:rowOff>
                  </from>
                  <to>
                    <xdr:col>4</xdr:col>
                    <xdr:colOff>419100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1]!CompleteRetestUI">
                <anchor moveWithCells="1" sizeWithCells="1">
                  <from>
                    <xdr:col>4</xdr:col>
                    <xdr:colOff>581025</xdr:colOff>
                    <xdr:row>1</xdr:row>
                    <xdr:rowOff>47625</xdr:rowOff>
                  </from>
                  <to>
                    <xdr:col>7</xdr:col>
                    <xdr:colOff>9525</xdr:colOff>
                    <xdr:row>1</xdr:row>
                    <xdr:rowOff>619125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A54A7-8F87-430F-BCF4-183855F5FD1A}">
  <sheetPr codeName="sh_rt_template3"/>
  <dimension ref="A1:G41"/>
  <sheetViews>
    <sheetView workbookViewId="0">
      <selection activeCell="E12" sqref="E12"/>
    </sheetView>
  </sheetViews>
  <sheetFormatPr defaultRowHeight="18.75" x14ac:dyDescent="0.4"/>
  <sheetData>
    <row r="1" spans="1:7" ht="33" x14ac:dyDescent="0.4">
      <c r="A1" s="1" t="s">
        <v>0</v>
      </c>
    </row>
    <row r="2" spans="1:7" ht="57" customHeight="1" x14ac:dyDescent="0.4"/>
    <row r="3" spans="1:7" x14ac:dyDescent="0.4">
      <c r="A3" t="s">
        <v>1</v>
      </c>
      <c r="C3" t="s">
        <v>81</v>
      </c>
      <c r="E3" t="s">
        <v>2</v>
      </c>
      <c r="G3" t="s">
        <v>3</v>
      </c>
    </row>
    <row r="4" spans="1:7" x14ac:dyDescent="0.4">
      <c r="A4" t="s">
        <v>4</v>
      </c>
      <c r="C4" t="s">
        <v>82</v>
      </c>
      <c r="E4" t="s">
        <v>5</v>
      </c>
    </row>
    <row r="5" spans="1:7" x14ac:dyDescent="0.4">
      <c r="A5" t="s">
        <v>6</v>
      </c>
      <c r="C5" t="s">
        <v>83</v>
      </c>
      <c r="E5" t="s">
        <v>7</v>
      </c>
      <c r="G5" t="s">
        <v>8</v>
      </c>
    </row>
    <row r="6" spans="1:7" x14ac:dyDescent="0.4">
      <c r="A6" t="s">
        <v>9</v>
      </c>
      <c r="C6" t="s">
        <v>21</v>
      </c>
    </row>
    <row r="7" spans="1:7" x14ac:dyDescent="0.4">
      <c r="A7" t="s">
        <v>10</v>
      </c>
    </row>
    <row r="8" spans="1:7" x14ac:dyDescent="0.4">
      <c r="A8" t="s">
        <v>11</v>
      </c>
      <c r="C8">
        <v>100</v>
      </c>
    </row>
    <row r="11" spans="1:7" x14ac:dyDescent="0.4">
      <c r="A11" t="s">
        <v>12</v>
      </c>
      <c r="B11" t="s">
        <v>13</v>
      </c>
      <c r="C11" t="s">
        <v>14</v>
      </c>
      <c r="D11" t="s">
        <v>15</v>
      </c>
      <c r="E11" t="s">
        <v>16</v>
      </c>
      <c r="F11" t="s">
        <v>85</v>
      </c>
      <c r="G11" t="s">
        <v>17</v>
      </c>
    </row>
    <row r="12" spans="1:7" x14ac:dyDescent="0.4">
      <c r="A12">
        <v>10010001</v>
      </c>
      <c r="B12" t="s">
        <v>22</v>
      </c>
      <c r="C12" t="s">
        <v>23</v>
      </c>
      <c r="D12">
        <v>11</v>
      </c>
      <c r="G12">
        <f t="shared" ref="G12:G41" si="0">IF(D12="-","-",IF(COUNTA(E12:F12)=0,D12,MAX(D12,E12:F12)))</f>
        <v>11</v>
      </c>
    </row>
    <row r="13" spans="1:7" x14ac:dyDescent="0.4">
      <c r="A13">
        <v>10010002</v>
      </c>
      <c r="B13" t="s">
        <v>24</v>
      </c>
      <c r="C13" t="s">
        <v>25</v>
      </c>
      <c r="D13">
        <v>39</v>
      </c>
      <c r="G13">
        <f t="shared" si="0"/>
        <v>39</v>
      </c>
    </row>
    <row r="14" spans="1:7" x14ac:dyDescent="0.4">
      <c r="A14">
        <v>10010003</v>
      </c>
      <c r="B14" t="s">
        <v>26</v>
      </c>
      <c r="C14" t="s">
        <v>27</v>
      </c>
      <c r="D14">
        <v>24</v>
      </c>
      <c r="G14">
        <f t="shared" si="0"/>
        <v>24</v>
      </c>
    </row>
    <row r="15" spans="1:7" x14ac:dyDescent="0.4">
      <c r="A15">
        <v>10010004</v>
      </c>
      <c r="B15" t="s">
        <v>28</v>
      </c>
      <c r="C15" t="s">
        <v>29</v>
      </c>
      <c r="D15">
        <v>48</v>
      </c>
      <c r="G15">
        <f t="shared" si="0"/>
        <v>48</v>
      </c>
    </row>
    <row r="16" spans="1:7" x14ac:dyDescent="0.4">
      <c r="A16">
        <v>10010005</v>
      </c>
      <c r="B16" t="s">
        <v>30</v>
      </c>
      <c r="C16" t="s">
        <v>27</v>
      </c>
      <c r="D16">
        <v>45</v>
      </c>
      <c r="G16">
        <f t="shared" si="0"/>
        <v>45</v>
      </c>
    </row>
    <row r="17" spans="1:7" x14ac:dyDescent="0.4">
      <c r="A17">
        <v>10010006</v>
      </c>
      <c r="B17" t="s">
        <v>31</v>
      </c>
      <c r="C17" t="s">
        <v>25</v>
      </c>
      <c r="D17">
        <v>53</v>
      </c>
      <c r="G17">
        <f t="shared" si="0"/>
        <v>53</v>
      </c>
    </row>
    <row r="18" spans="1:7" x14ac:dyDescent="0.4">
      <c r="A18">
        <v>10010007</v>
      </c>
      <c r="B18" t="s">
        <v>32</v>
      </c>
      <c r="C18" t="s">
        <v>33</v>
      </c>
      <c r="D18">
        <v>54</v>
      </c>
      <c r="G18">
        <f t="shared" si="0"/>
        <v>54</v>
      </c>
    </row>
    <row r="19" spans="1:7" x14ac:dyDescent="0.4">
      <c r="A19">
        <v>10010008</v>
      </c>
      <c r="B19" t="s">
        <v>34</v>
      </c>
      <c r="C19" t="s">
        <v>35</v>
      </c>
      <c r="D19">
        <v>49</v>
      </c>
      <c r="G19">
        <f t="shared" si="0"/>
        <v>49</v>
      </c>
    </row>
    <row r="20" spans="1:7" x14ac:dyDescent="0.4">
      <c r="A20">
        <v>10010009</v>
      </c>
      <c r="B20" t="s">
        <v>36</v>
      </c>
      <c r="C20" t="s">
        <v>37</v>
      </c>
      <c r="D20">
        <v>29</v>
      </c>
      <c r="G20">
        <f t="shared" si="0"/>
        <v>29</v>
      </c>
    </row>
    <row r="21" spans="1:7" x14ac:dyDescent="0.4">
      <c r="A21">
        <v>10010010</v>
      </c>
      <c r="B21" t="s">
        <v>38</v>
      </c>
      <c r="C21" t="s">
        <v>39</v>
      </c>
      <c r="D21">
        <v>32</v>
      </c>
      <c r="G21">
        <f t="shared" si="0"/>
        <v>32</v>
      </c>
    </row>
    <row r="22" spans="1:7" x14ac:dyDescent="0.4">
      <c r="A22">
        <v>10010011</v>
      </c>
      <c r="B22" t="s">
        <v>40</v>
      </c>
      <c r="C22" t="s">
        <v>41</v>
      </c>
      <c r="D22">
        <v>18</v>
      </c>
      <c r="G22">
        <f t="shared" si="0"/>
        <v>18</v>
      </c>
    </row>
    <row r="23" spans="1:7" x14ac:dyDescent="0.4">
      <c r="A23">
        <v>10010012</v>
      </c>
      <c r="B23" t="s">
        <v>42</v>
      </c>
      <c r="C23" t="s">
        <v>43</v>
      </c>
      <c r="D23">
        <v>52</v>
      </c>
      <c r="G23">
        <f t="shared" si="0"/>
        <v>52</v>
      </c>
    </row>
    <row r="24" spans="1:7" x14ac:dyDescent="0.4">
      <c r="A24">
        <v>10010013</v>
      </c>
      <c r="B24" t="s">
        <v>44</v>
      </c>
      <c r="C24" t="s">
        <v>37</v>
      </c>
      <c r="D24">
        <v>13</v>
      </c>
      <c r="G24">
        <f t="shared" si="0"/>
        <v>13</v>
      </c>
    </row>
    <row r="25" spans="1:7" x14ac:dyDescent="0.4">
      <c r="A25">
        <v>10010014</v>
      </c>
      <c r="B25" t="s">
        <v>45</v>
      </c>
      <c r="C25" t="s">
        <v>46</v>
      </c>
      <c r="D25">
        <v>20</v>
      </c>
      <c r="G25">
        <f t="shared" si="0"/>
        <v>20</v>
      </c>
    </row>
    <row r="26" spans="1:7" x14ac:dyDescent="0.4">
      <c r="A26">
        <v>10010015</v>
      </c>
      <c r="B26" t="s">
        <v>47</v>
      </c>
      <c r="C26" t="s">
        <v>37</v>
      </c>
      <c r="D26">
        <v>28</v>
      </c>
      <c r="G26">
        <f t="shared" si="0"/>
        <v>28</v>
      </c>
    </row>
    <row r="27" spans="1:7" x14ac:dyDescent="0.4">
      <c r="A27">
        <v>10010016</v>
      </c>
      <c r="B27" t="s">
        <v>48</v>
      </c>
      <c r="C27" t="s">
        <v>46</v>
      </c>
      <c r="D27">
        <v>10</v>
      </c>
      <c r="G27">
        <f t="shared" si="0"/>
        <v>10</v>
      </c>
    </row>
    <row r="28" spans="1:7" x14ac:dyDescent="0.4">
      <c r="A28">
        <v>10010017</v>
      </c>
      <c r="B28" t="s">
        <v>49</v>
      </c>
      <c r="C28" t="s">
        <v>50</v>
      </c>
      <c r="D28">
        <v>40</v>
      </c>
      <c r="G28">
        <f t="shared" si="0"/>
        <v>40</v>
      </c>
    </row>
    <row r="29" spans="1:7" x14ac:dyDescent="0.4">
      <c r="A29">
        <v>10010018</v>
      </c>
      <c r="B29" t="s">
        <v>51</v>
      </c>
      <c r="C29" t="s">
        <v>25</v>
      </c>
      <c r="D29">
        <v>45</v>
      </c>
      <c r="G29">
        <f t="shared" si="0"/>
        <v>45</v>
      </c>
    </row>
    <row r="30" spans="1:7" x14ac:dyDescent="0.4">
      <c r="A30">
        <v>10010019</v>
      </c>
      <c r="B30" t="s">
        <v>52</v>
      </c>
      <c r="C30" t="s">
        <v>53</v>
      </c>
      <c r="D30">
        <v>18</v>
      </c>
      <c r="G30">
        <f t="shared" si="0"/>
        <v>18</v>
      </c>
    </row>
    <row r="31" spans="1:7" x14ac:dyDescent="0.4">
      <c r="A31">
        <v>10010020</v>
      </c>
      <c r="B31" t="s">
        <v>54</v>
      </c>
      <c r="C31" t="s">
        <v>46</v>
      </c>
      <c r="D31">
        <v>43</v>
      </c>
      <c r="G31">
        <f t="shared" si="0"/>
        <v>43</v>
      </c>
    </row>
    <row r="32" spans="1:7" x14ac:dyDescent="0.4">
      <c r="A32">
        <v>10010021</v>
      </c>
      <c r="B32" t="s">
        <v>55</v>
      </c>
      <c r="C32" t="s">
        <v>56</v>
      </c>
      <c r="D32">
        <v>58</v>
      </c>
      <c r="G32">
        <f t="shared" si="0"/>
        <v>58</v>
      </c>
    </row>
    <row r="33" spans="1:7" x14ac:dyDescent="0.4">
      <c r="A33">
        <v>10010022</v>
      </c>
      <c r="B33" t="s">
        <v>57</v>
      </c>
      <c r="C33" t="s">
        <v>25</v>
      </c>
      <c r="D33">
        <v>36</v>
      </c>
      <c r="G33">
        <f t="shared" si="0"/>
        <v>36</v>
      </c>
    </row>
    <row r="34" spans="1:7" x14ac:dyDescent="0.4">
      <c r="A34">
        <v>10010023</v>
      </c>
      <c r="B34" t="s">
        <v>58</v>
      </c>
      <c r="C34" t="s">
        <v>59</v>
      </c>
      <c r="D34">
        <v>31</v>
      </c>
      <c r="G34">
        <f t="shared" si="0"/>
        <v>31</v>
      </c>
    </row>
    <row r="35" spans="1:7" x14ac:dyDescent="0.4">
      <c r="A35">
        <v>10010024</v>
      </c>
      <c r="B35" t="s">
        <v>60</v>
      </c>
      <c r="C35" t="s">
        <v>43</v>
      </c>
      <c r="D35">
        <v>27</v>
      </c>
      <c r="G35">
        <f t="shared" si="0"/>
        <v>27</v>
      </c>
    </row>
    <row r="36" spans="1:7" x14ac:dyDescent="0.4">
      <c r="A36">
        <v>10010025</v>
      </c>
      <c r="B36" t="s">
        <v>61</v>
      </c>
      <c r="C36" t="s">
        <v>62</v>
      </c>
      <c r="D36">
        <v>39</v>
      </c>
      <c r="G36">
        <f t="shared" si="0"/>
        <v>39</v>
      </c>
    </row>
    <row r="37" spans="1:7" x14ac:dyDescent="0.4">
      <c r="A37">
        <v>10010026</v>
      </c>
      <c r="B37" t="s">
        <v>63</v>
      </c>
      <c r="C37" t="s">
        <v>64</v>
      </c>
      <c r="D37">
        <v>33</v>
      </c>
      <c r="G37">
        <f t="shared" si="0"/>
        <v>33</v>
      </c>
    </row>
    <row r="38" spans="1:7" x14ac:dyDescent="0.4">
      <c r="A38">
        <v>10010027</v>
      </c>
      <c r="B38" t="s">
        <v>65</v>
      </c>
      <c r="C38" t="s">
        <v>50</v>
      </c>
      <c r="D38">
        <v>52</v>
      </c>
      <c r="G38">
        <f t="shared" si="0"/>
        <v>52</v>
      </c>
    </row>
    <row r="39" spans="1:7" x14ac:dyDescent="0.4">
      <c r="A39">
        <v>10010028</v>
      </c>
      <c r="B39" t="s">
        <v>66</v>
      </c>
      <c r="C39" t="s">
        <v>25</v>
      </c>
      <c r="D39">
        <v>27</v>
      </c>
      <c r="G39">
        <f t="shared" si="0"/>
        <v>27</v>
      </c>
    </row>
    <row r="40" spans="1:7" x14ac:dyDescent="0.4">
      <c r="A40">
        <v>10010029</v>
      </c>
      <c r="B40" t="s">
        <v>67</v>
      </c>
      <c r="C40" t="s">
        <v>62</v>
      </c>
      <c r="D40">
        <v>55</v>
      </c>
      <c r="G40">
        <f t="shared" si="0"/>
        <v>55</v>
      </c>
    </row>
    <row r="41" spans="1:7" x14ac:dyDescent="0.4">
      <c r="A41">
        <v>10010030</v>
      </c>
      <c r="B41" t="s">
        <v>68</v>
      </c>
      <c r="C41" t="s">
        <v>69</v>
      </c>
      <c r="D41">
        <v>18</v>
      </c>
      <c r="G41">
        <f t="shared" si="0"/>
        <v>18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1]!ApplyFinalScoreFormulasUI">
                <anchor moveWithCells="1" sizeWithCells="1">
                  <from>
                    <xdr:col>0</xdr:col>
                    <xdr:colOff>57150</xdr:colOff>
                    <xdr:row>1</xdr:row>
                    <xdr:rowOff>47625</xdr:rowOff>
                  </from>
                  <to>
                    <xdr:col>2</xdr:col>
                    <xdr:colOff>171450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1]!AddRetestRoundUI">
                <anchor moveWithCells="1" sizeWithCells="1">
                  <from>
                    <xdr:col>2</xdr:col>
                    <xdr:colOff>304800</xdr:colOff>
                    <xdr:row>1</xdr:row>
                    <xdr:rowOff>47625</xdr:rowOff>
                  </from>
                  <to>
                    <xdr:col>4</xdr:col>
                    <xdr:colOff>419100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1]!CompleteRetestUI">
                <anchor moveWithCells="1" sizeWithCells="1">
                  <from>
                    <xdr:col>4</xdr:col>
                    <xdr:colOff>581025</xdr:colOff>
                    <xdr:row>1</xdr:row>
                    <xdr:rowOff>47625</xdr:rowOff>
                  </from>
                  <to>
                    <xdr:col>8</xdr:col>
                    <xdr:colOff>9525</xdr:colOff>
                    <xdr:row>1</xdr:row>
                    <xdr:rowOff>619125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5C3ED-EDA1-4498-8AB6-BF7443182632}">
  <sheetPr codeName="sh_rt_template4"/>
  <dimension ref="A1:F43"/>
  <sheetViews>
    <sheetView workbookViewId="0">
      <selection activeCell="G17" sqref="G17"/>
    </sheetView>
  </sheetViews>
  <sheetFormatPr defaultRowHeight="18.75" x14ac:dyDescent="0.4"/>
  <cols>
    <col min="1" max="1" width="11.875" customWidth="1"/>
  </cols>
  <sheetData>
    <row r="1" spans="1:6" ht="33" x14ac:dyDescent="0.4">
      <c r="A1" s="1" t="s">
        <v>0</v>
      </c>
    </row>
    <row r="2" spans="1:6" ht="57" customHeight="1" x14ac:dyDescent="0.4"/>
    <row r="3" spans="1:6" x14ac:dyDescent="0.4">
      <c r="A3" t="s">
        <v>1</v>
      </c>
      <c r="B3" t="s">
        <v>86</v>
      </c>
    </row>
    <row r="4" spans="1:6" x14ac:dyDescent="0.4">
      <c r="A4" t="s">
        <v>4</v>
      </c>
      <c r="B4" t="s">
        <v>82</v>
      </c>
    </row>
    <row r="5" spans="1:6" x14ac:dyDescent="0.4">
      <c r="A5" t="s">
        <v>6</v>
      </c>
      <c r="B5" t="s">
        <v>87</v>
      </c>
    </row>
    <row r="6" spans="1:6" x14ac:dyDescent="0.4">
      <c r="A6" t="s">
        <v>9</v>
      </c>
      <c r="B6" t="s">
        <v>21</v>
      </c>
    </row>
    <row r="7" spans="1:6" x14ac:dyDescent="0.4">
      <c r="A7" t="s">
        <v>10</v>
      </c>
    </row>
    <row r="8" spans="1:6" x14ac:dyDescent="0.4">
      <c r="A8" t="s">
        <v>11</v>
      </c>
      <c r="B8">
        <v>100</v>
      </c>
    </row>
    <row r="9" spans="1:6" x14ac:dyDescent="0.4">
      <c r="A9" t="s">
        <v>2</v>
      </c>
      <c r="B9" t="s">
        <v>3</v>
      </c>
    </row>
    <row r="10" spans="1:6" x14ac:dyDescent="0.4">
      <c r="A10" t="s">
        <v>5</v>
      </c>
    </row>
    <row r="11" spans="1:6" x14ac:dyDescent="0.4">
      <c r="A11" t="s">
        <v>7</v>
      </c>
      <c r="B11" t="s">
        <v>8</v>
      </c>
    </row>
    <row r="12" spans="1:6" s="2" customFormat="1" x14ac:dyDescent="0.4">
      <c r="A12" s="2" t="s">
        <v>12</v>
      </c>
      <c r="B12" s="2" t="s">
        <v>13</v>
      </c>
      <c r="C12" s="2" t="s">
        <v>14</v>
      </c>
      <c r="D12" s="2" t="s">
        <v>15</v>
      </c>
      <c r="E12" s="2" t="s">
        <v>16</v>
      </c>
      <c r="F12" s="2" t="s">
        <v>17</v>
      </c>
    </row>
    <row r="14" spans="1:6" x14ac:dyDescent="0.4">
      <c r="A14">
        <v>10010001</v>
      </c>
      <c r="B14" t="s">
        <v>22</v>
      </c>
      <c r="C14" t="s">
        <v>23</v>
      </c>
      <c r="D14">
        <v>99</v>
      </c>
    </row>
    <row r="15" spans="1:6" x14ac:dyDescent="0.4">
      <c r="A15">
        <v>10010002</v>
      </c>
      <c r="B15" t="s">
        <v>24</v>
      </c>
      <c r="C15" t="s">
        <v>25</v>
      </c>
      <c r="D15">
        <v>98</v>
      </c>
    </row>
    <row r="16" spans="1:6" x14ac:dyDescent="0.4">
      <c r="A16">
        <v>10010003</v>
      </c>
      <c r="B16" t="s">
        <v>26</v>
      </c>
      <c r="C16" t="s">
        <v>27</v>
      </c>
      <c r="D16">
        <v>97</v>
      </c>
    </row>
    <row r="17" spans="1:4" x14ac:dyDescent="0.4">
      <c r="A17">
        <v>10010004</v>
      </c>
      <c r="B17" t="s">
        <v>28</v>
      </c>
      <c r="C17" t="s">
        <v>29</v>
      </c>
      <c r="D17">
        <v>96</v>
      </c>
    </row>
    <row r="18" spans="1:4" x14ac:dyDescent="0.4">
      <c r="A18">
        <v>10010005</v>
      </c>
      <c r="B18" t="s">
        <v>30</v>
      </c>
      <c r="C18" t="s">
        <v>27</v>
      </c>
      <c r="D18">
        <v>95</v>
      </c>
    </row>
    <row r="19" spans="1:4" x14ac:dyDescent="0.4">
      <c r="A19">
        <v>10010006</v>
      </c>
      <c r="B19" t="s">
        <v>31</v>
      </c>
      <c r="C19" t="s">
        <v>25</v>
      </c>
      <c r="D19">
        <v>94</v>
      </c>
    </row>
    <row r="20" spans="1:4" x14ac:dyDescent="0.4">
      <c r="A20">
        <v>10010007</v>
      </c>
      <c r="B20" t="s">
        <v>32</v>
      </c>
      <c r="C20" t="s">
        <v>33</v>
      </c>
      <c r="D20">
        <v>93</v>
      </c>
    </row>
    <row r="21" spans="1:4" x14ac:dyDescent="0.4">
      <c r="A21">
        <v>10010008</v>
      </c>
      <c r="B21" t="s">
        <v>34</v>
      </c>
      <c r="C21" t="s">
        <v>35</v>
      </c>
      <c r="D21">
        <v>92</v>
      </c>
    </row>
    <row r="22" spans="1:4" x14ac:dyDescent="0.4">
      <c r="A22">
        <v>10010009</v>
      </c>
      <c r="B22" t="s">
        <v>36</v>
      </c>
      <c r="C22" t="s">
        <v>37</v>
      </c>
      <c r="D22">
        <v>91</v>
      </c>
    </row>
    <row r="23" spans="1:4" x14ac:dyDescent="0.4">
      <c r="A23">
        <v>10010010</v>
      </c>
      <c r="B23" t="s">
        <v>38</v>
      </c>
      <c r="C23" t="s">
        <v>39</v>
      </c>
      <c r="D23">
        <v>90</v>
      </c>
    </row>
    <row r="24" spans="1:4" x14ac:dyDescent="0.4">
      <c r="A24">
        <v>10010011</v>
      </c>
      <c r="B24" t="s">
        <v>40</v>
      </c>
      <c r="C24" t="s">
        <v>41</v>
      </c>
      <c r="D24">
        <v>89</v>
      </c>
    </row>
    <row r="25" spans="1:4" x14ac:dyDescent="0.4">
      <c r="A25">
        <v>10010012</v>
      </c>
      <c r="B25" t="s">
        <v>42</v>
      </c>
      <c r="C25" t="s">
        <v>43</v>
      </c>
      <c r="D25">
        <v>88</v>
      </c>
    </row>
    <row r="26" spans="1:4" x14ac:dyDescent="0.4">
      <c r="A26">
        <v>10010013</v>
      </c>
      <c r="B26" t="s">
        <v>44</v>
      </c>
      <c r="C26" t="s">
        <v>37</v>
      </c>
      <c r="D26">
        <v>87</v>
      </c>
    </row>
    <row r="27" spans="1:4" x14ac:dyDescent="0.4">
      <c r="A27">
        <v>10010014</v>
      </c>
      <c r="B27" t="s">
        <v>45</v>
      </c>
      <c r="C27" t="s">
        <v>46</v>
      </c>
      <c r="D27">
        <v>86</v>
      </c>
    </row>
    <row r="28" spans="1:4" x14ac:dyDescent="0.4">
      <c r="A28">
        <v>10010015</v>
      </c>
      <c r="B28" t="s">
        <v>47</v>
      </c>
      <c r="C28" t="s">
        <v>37</v>
      </c>
      <c r="D28">
        <v>85</v>
      </c>
    </row>
    <row r="29" spans="1:4" x14ac:dyDescent="0.4">
      <c r="A29">
        <v>10010016</v>
      </c>
      <c r="B29" t="s">
        <v>48</v>
      </c>
      <c r="C29" t="s">
        <v>46</v>
      </c>
      <c r="D29">
        <v>84</v>
      </c>
    </row>
    <row r="30" spans="1:4" x14ac:dyDescent="0.4">
      <c r="A30">
        <v>10010017</v>
      </c>
      <c r="B30" t="s">
        <v>49</v>
      </c>
      <c r="C30" t="s">
        <v>50</v>
      </c>
      <c r="D30">
        <v>83</v>
      </c>
    </row>
    <row r="31" spans="1:4" x14ac:dyDescent="0.4">
      <c r="A31">
        <v>10010018</v>
      </c>
      <c r="B31" t="s">
        <v>51</v>
      </c>
      <c r="C31" t="s">
        <v>25</v>
      </c>
      <c r="D31">
        <v>82</v>
      </c>
    </row>
    <row r="32" spans="1:4" x14ac:dyDescent="0.4">
      <c r="A32">
        <v>10010019</v>
      </c>
      <c r="B32" t="s">
        <v>52</v>
      </c>
      <c r="C32" t="s">
        <v>53</v>
      </c>
      <c r="D32">
        <v>81</v>
      </c>
    </row>
    <row r="33" spans="1:4" x14ac:dyDescent="0.4">
      <c r="A33">
        <v>10010020</v>
      </c>
      <c r="B33" t="s">
        <v>54</v>
      </c>
      <c r="C33" t="s">
        <v>46</v>
      </c>
      <c r="D33">
        <v>80</v>
      </c>
    </row>
    <row r="34" spans="1:4" x14ac:dyDescent="0.4">
      <c r="A34">
        <v>10010021</v>
      </c>
      <c r="B34" t="s">
        <v>55</v>
      </c>
      <c r="C34" t="s">
        <v>56</v>
      </c>
      <c r="D34">
        <v>79</v>
      </c>
    </row>
    <row r="35" spans="1:4" x14ac:dyDescent="0.4">
      <c r="A35">
        <v>10010022</v>
      </c>
      <c r="B35" t="s">
        <v>57</v>
      </c>
      <c r="C35" t="s">
        <v>25</v>
      </c>
      <c r="D35">
        <v>78</v>
      </c>
    </row>
    <row r="36" spans="1:4" x14ac:dyDescent="0.4">
      <c r="A36">
        <v>10010023</v>
      </c>
      <c r="B36" t="s">
        <v>58</v>
      </c>
      <c r="C36" t="s">
        <v>59</v>
      </c>
      <c r="D36">
        <v>77</v>
      </c>
    </row>
    <row r="37" spans="1:4" x14ac:dyDescent="0.4">
      <c r="A37">
        <v>10010024</v>
      </c>
      <c r="B37" t="s">
        <v>60</v>
      </c>
      <c r="C37" t="s">
        <v>43</v>
      </c>
      <c r="D37">
        <v>76</v>
      </c>
    </row>
    <row r="38" spans="1:4" x14ac:dyDescent="0.4">
      <c r="A38">
        <v>10010025</v>
      </c>
      <c r="B38" t="s">
        <v>61</v>
      </c>
      <c r="C38" t="s">
        <v>62</v>
      </c>
      <c r="D38">
        <v>75</v>
      </c>
    </row>
    <row r="39" spans="1:4" x14ac:dyDescent="0.4">
      <c r="A39">
        <v>10010026</v>
      </c>
      <c r="B39" t="s">
        <v>63</v>
      </c>
      <c r="C39" t="s">
        <v>64</v>
      </c>
      <c r="D39">
        <v>74</v>
      </c>
    </row>
    <row r="40" spans="1:4" x14ac:dyDescent="0.4">
      <c r="A40">
        <v>10010027</v>
      </c>
      <c r="B40" t="s">
        <v>65</v>
      </c>
      <c r="C40" t="s">
        <v>50</v>
      </c>
      <c r="D40">
        <v>73</v>
      </c>
    </row>
    <row r="41" spans="1:4" x14ac:dyDescent="0.4">
      <c r="A41">
        <v>10010028</v>
      </c>
      <c r="B41" t="s">
        <v>66</v>
      </c>
      <c r="C41" t="s">
        <v>25</v>
      </c>
      <c r="D41">
        <v>72</v>
      </c>
    </row>
    <row r="42" spans="1:4" x14ac:dyDescent="0.4">
      <c r="A42">
        <v>10010029</v>
      </c>
      <c r="B42" t="s">
        <v>67</v>
      </c>
      <c r="C42" t="s">
        <v>62</v>
      </c>
      <c r="D42">
        <v>71</v>
      </c>
    </row>
    <row r="43" spans="1:4" x14ac:dyDescent="0.4">
      <c r="A43">
        <v>10010030</v>
      </c>
      <c r="B43" t="s">
        <v>68</v>
      </c>
      <c r="C43" t="s">
        <v>69</v>
      </c>
      <c r="D43">
        <v>70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1]!ApplyFinalScoreFormulasUI">
                <anchor moveWithCells="1" sizeWithCells="1">
                  <from>
                    <xdr:col>0</xdr:col>
                    <xdr:colOff>57150</xdr:colOff>
                    <xdr:row>1</xdr:row>
                    <xdr:rowOff>47625</xdr:rowOff>
                  </from>
                  <to>
                    <xdr:col>2</xdr:col>
                    <xdr:colOff>171450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1]!AddRetestRoundUI">
                <anchor moveWithCells="1" sizeWithCells="1">
                  <from>
                    <xdr:col>2</xdr:col>
                    <xdr:colOff>304800</xdr:colOff>
                    <xdr:row>1</xdr:row>
                    <xdr:rowOff>47625</xdr:rowOff>
                  </from>
                  <to>
                    <xdr:col>4</xdr:col>
                    <xdr:colOff>419100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1]!CompleteRetestUI">
                <anchor moveWithCells="1" sizeWithCells="1">
                  <from>
                    <xdr:col>4</xdr:col>
                    <xdr:colOff>581025</xdr:colOff>
                    <xdr:row>1</xdr:row>
                    <xdr:rowOff>47625</xdr:rowOff>
                  </from>
                  <to>
                    <xdr:col>7</xdr:col>
                    <xdr:colOff>9525</xdr:colOff>
                    <xdr:row>1</xdr:row>
                    <xdr:rowOff>619125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EBA4D8-FA47-4A52-81FA-AEE3B297B2E1}">
  <sheetPr codeName="sh_rt_template"/>
  <dimension ref="A1:G40"/>
  <sheetViews>
    <sheetView workbookViewId="0">
      <selection activeCell="G13" sqref="G13"/>
    </sheetView>
  </sheetViews>
  <sheetFormatPr defaultRowHeight="18.75" x14ac:dyDescent="0.4"/>
  <cols>
    <col min="1" max="1" width="11.875" customWidth="1"/>
  </cols>
  <sheetData>
    <row r="1" spans="1:7" ht="33" x14ac:dyDescent="0.4">
      <c r="A1" s="1" t="s">
        <v>0</v>
      </c>
    </row>
    <row r="2" spans="1:7" ht="57" customHeight="1" x14ac:dyDescent="0.4"/>
    <row r="3" spans="1:7" x14ac:dyDescent="0.4">
      <c r="A3" t="s">
        <v>1</v>
      </c>
      <c r="B3" t="s">
        <v>89</v>
      </c>
      <c r="D3" t="s">
        <v>2</v>
      </c>
      <c r="E3" t="s">
        <v>3</v>
      </c>
    </row>
    <row r="4" spans="1:7" x14ac:dyDescent="0.4">
      <c r="A4" t="s">
        <v>4</v>
      </c>
      <c r="B4" t="s">
        <v>90</v>
      </c>
      <c r="D4" t="s">
        <v>5</v>
      </c>
    </row>
    <row r="5" spans="1:7" x14ac:dyDescent="0.4">
      <c r="A5" t="s">
        <v>6</v>
      </c>
      <c r="B5" t="s">
        <v>91</v>
      </c>
      <c r="D5" t="s">
        <v>7</v>
      </c>
      <c r="E5" t="s">
        <v>71</v>
      </c>
    </row>
    <row r="6" spans="1:7" x14ac:dyDescent="0.4">
      <c r="A6" t="s">
        <v>9</v>
      </c>
      <c r="B6" t="s">
        <v>74</v>
      </c>
    </row>
    <row r="7" spans="1:7" x14ac:dyDescent="0.4">
      <c r="A7" t="s">
        <v>10</v>
      </c>
    </row>
    <row r="8" spans="1:7" x14ac:dyDescent="0.4">
      <c r="A8" t="s">
        <v>11</v>
      </c>
      <c r="B8">
        <v>100</v>
      </c>
    </row>
    <row r="10" spans="1:7" s="2" customFormat="1" x14ac:dyDescent="0.4">
      <c r="A10" s="2" t="s">
        <v>12</v>
      </c>
      <c r="B10" s="2" t="s">
        <v>13</v>
      </c>
      <c r="C10" s="2" t="s">
        <v>14</v>
      </c>
      <c r="D10" s="2" t="s">
        <v>15</v>
      </c>
      <c r="E10" s="2" t="s">
        <v>16</v>
      </c>
      <c r="F10" s="2" t="s">
        <v>85</v>
      </c>
      <c r="G10" s="2" t="s">
        <v>17</v>
      </c>
    </row>
    <row r="11" spans="1:7" x14ac:dyDescent="0.4">
      <c r="A11">
        <v>10010001</v>
      </c>
      <c r="B11" t="s">
        <v>22</v>
      </c>
      <c r="C11" t="s">
        <v>23</v>
      </c>
      <c r="D11">
        <v>99</v>
      </c>
      <c r="E11">
        <v>90</v>
      </c>
      <c r="F11">
        <v>80</v>
      </c>
      <c r="G11">
        <f t="shared" ref="G11:G40" si="0">IF(D11="-","-",IF(COUNTA(E11:F11)=0,D11,MAX(D11,E11:F11)))</f>
        <v>99</v>
      </c>
    </row>
    <row r="12" spans="1:7" x14ac:dyDescent="0.4">
      <c r="A12">
        <v>10010002</v>
      </c>
      <c r="B12" t="s">
        <v>24</v>
      </c>
      <c r="C12" t="s">
        <v>25</v>
      </c>
      <c r="D12">
        <v>98</v>
      </c>
      <c r="F12">
        <v>88</v>
      </c>
      <c r="G12">
        <f t="shared" si="0"/>
        <v>98</v>
      </c>
    </row>
    <row r="13" spans="1:7" x14ac:dyDescent="0.4">
      <c r="A13">
        <v>10010003</v>
      </c>
      <c r="B13" t="s">
        <v>26</v>
      </c>
      <c r="C13" t="s">
        <v>27</v>
      </c>
      <c r="D13">
        <v>97</v>
      </c>
      <c r="E13">
        <v>90</v>
      </c>
      <c r="G13">
        <f t="shared" si="0"/>
        <v>97</v>
      </c>
    </row>
    <row r="14" spans="1:7" x14ac:dyDescent="0.4">
      <c r="A14">
        <v>10010004</v>
      </c>
      <c r="B14" t="s">
        <v>28</v>
      </c>
      <c r="C14" t="s">
        <v>29</v>
      </c>
      <c r="D14">
        <v>96</v>
      </c>
      <c r="E14">
        <v>90</v>
      </c>
      <c r="G14">
        <f t="shared" si="0"/>
        <v>96</v>
      </c>
    </row>
    <row r="15" spans="1:7" x14ac:dyDescent="0.4">
      <c r="A15">
        <v>10010005</v>
      </c>
      <c r="B15" t="s">
        <v>30</v>
      </c>
      <c r="C15" t="s">
        <v>27</v>
      </c>
      <c r="D15">
        <v>95</v>
      </c>
      <c r="G15">
        <f t="shared" si="0"/>
        <v>95</v>
      </c>
    </row>
    <row r="16" spans="1:7" x14ac:dyDescent="0.4">
      <c r="A16">
        <v>10010006</v>
      </c>
      <c r="B16" t="s">
        <v>31</v>
      </c>
      <c r="C16" t="s">
        <v>25</v>
      </c>
      <c r="D16">
        <v>94</v>
      </c>
      <c r="E16">
        <v>90</v>
      </c>
      <c r="G16">
        <f t="shared" si="0"/>
        <v>94</v>
      </c>
    </row>
    <row r="17" spans="1:7" x14ac:dyDescent="0.4">
      <c r="A17">
        <v>10010007</v>
      </c>
      <c r="B17" t="s">
        <v>32</v>
      </c>
      <c r="C17" t="s">
        <v>33</v>
      </c>
      <c r="D17">
        <v>93</v>
      </c>
      <c r="E17">
        <v>90</v>
      </c>
      <c r="G17">
        <f t="shared" si="0"/>
        <v>93</v>
      </c>
    </row>
    <row r="18" spans="1:7" x14ac:dyDescent="0.4">
      <c r="A18">
        <v>10010008</v>
      </c>
      <c r="B18" t="s">
        <v>34</v>
      </c>
      <c r="C18" t="s">
        <v>35</v>
      </c>
      <c r="D18">
        <v>92</v>
      </c>
      <c r="G18">
        <f t="shared" si="0"/>
        <v>92</v>
      </c>
    </row>
    <row r="19" spans="1:7" x14ac:dyDescent="0.4">
      <c r="A19">
        <v>10010009</v>
      </c>
      <c r="B19" t="s">
        <v>36</v>
      </c>
      <c r="C19" t="s">
        <v>37</v>
      </c>
      <c r="D19">
        <v>91</v>
      </c>
      <c r="E19">
        <v>90</v>
      </c>
      <c r="G19">
        <f t="shared" si="0"/>
        <v>91</v>
      </c>
    </row>
    <row r="20" spans="1:7" x14ac:dyDescent="0.4">
      <c r="A20">
        <v>10010010</v>
      </c>
      <c r="B20" t="s">
        <v>38</v>
      </c>
      <c r="C20" t="s">
        <v>39</v>
      </c>
      <c r="D20">
        <v>90</v>
      </c>
      <c r="E20">
        <v>90</v>
      </c>
      <c r="G20">
        <f t="shared" si="0"/>
        <v>90</v>
      </c>
    </row>
    <row r="21" spans="1:7" x14ac:dyDescent="0.4">
      <c r="A21">
        <v>10010011</v>
      </c>
      <c r="B21" t="s">
        <v>40</v>
      </c>
      <c r="C21" t="s">
        <v>41</v>
      </c>
      <c r="D21">
        <v>89</v>
      </c>
      <c r="G21">
        <f t="shared" si="0"/>
        <v>89</v>
      </c>
    </row>
    <row r="22" spans="1:7" x14ac:dyDescent="0.4">
      <c r="A22">
        <v>10010012</v>
      </c>
      <c r="B22" t="s">
        <v>42</v>
      </c>
      <c r="C22" t="s">
        <v>43</v>
      </c>
      <c r="D22">
        <v>88</v>
      </c>
      <c r="E22">
        <v>90</v>
      </c>
      <c r="G22">
        <f t="shared" si="0"/>
        <v>90</v>
      </c>
    </row>
    <row r="23" spans="1:7" x14ac:dyDescent="0.4">
      <c r="A23">
        <v>10010013</v>
      </c>
      <c r="B23" t="s">
        <v>44</v>
      </c>
      <c r="C23" t="s">
        <v>37</v>
      </c>
      <c r="D23">
        <v>87</v>
      </c>
      <c r="E23">
        <v>90</v>
      </c>
      <c r="G23">
        <f t="shared" si="0"/>
        <v>90</v>
      </c>
    </row>
    <row r="24" spans="1:7" x14ac:dyDescent="0.4">
      <c r="A24">
        <v>10010014</v>
      </c>
      <c r="B24" t="s">
        <v>45</v>
      </c>
      <c r="C24" t="s">
        <v>46</v>
      </c>
      <c r="D24">
        <v>86</v>
      </c>
      <c r="G24">
        <f t="shared" si="0"/>
        <v>86</v>
      </c>
    </row>
    <row r="25" spans="1:7" x14ac:dyDescent="0.4">
      <c r="A25">
        <v>10010015</v>
      </c>
      <c r="B25" t="s">
        <v>47</v>
      </c>
      <c r="C25" t="s">
        <v>37</v>
      </c>
      <c r="D25">
        <v>85</v>
      </c>
      <c r="E25">
        <v>90</v>
      </c>
      <c r="G25">
        <f t="shared" si="0"/>
        <v>90</v>
      </c>
    </row>
    <row r="26" spans="1:7" x14ac:dyDescent="0.4">
      <c r="A26">
        <v>10010016</v>
      </c>
      <c r="B26" t="s">
        <v>48</v>
      </c>
      <c r="C26" t="s">
        <v>46</v>
      </c>
      <c r="D26">
        <v>84</v>
      </c>
      <c r="E26">
        <v>90</v>
      </c>
      <c r="G26">
        <f t="shared" si="0"/>
        <v>90</v>
      </c>
    </row>
    <row r="27" spans="1:7" x14ac:dyDescent="0.4">
      <c r="A27">
        <v>10010017</v>
      </c>
      <c r="B27" t="s">
        <v>49</v>
      </c>
      <c r="C27" t="s">
        <v>50</v>
      </c>
      <c r="D27">
        <v>83</v>
      </c>
      <c r="E27">
        <v>90</v>
      </c>
      <c r="G27">
        <f t="shared" si="0"/>
        <v>90</v>
      </c>
    </row>
    <row r="28" spans="1:7" x14ac:dyDescent="0.4">
      <c r="A28">
        <v>10010018</v>
      </c>
      <c r="B28" t="s">
        <v>51</v>
      </c>
      <c r="C28" t="s">
        <v>25</v>
      </c>
      <c r="D28">
        <v>82</v>
      </c>
      <c r="E28">
        <v>90</v>
      </c>
      <c r="G28">
        <f t="shared" si="0"/>
        <v>90</v>
      </c>
    </row>
    <row r="29" spans="1:7" x14ac:dyDescent="0.4">
      <c r="A29">
        <v>10010019</v>
      </c>
      <c r="B29" t="s">
        <v>52</v>
      </c>
      <c r="C29" t="s">
        <v>53</v>
      </c>
      <c r="D29">
        <v>81</v>
      </c>
      <c r="G29">
        <f t="shared" si="0"/>
        <v>81</v>
      </c>
    </row>
    <row r="30" spans="1:7" x14ac:dyDescent="0.4">
      <c r="A30">
        <v>10010020</v>
      </c>
      <c r="B30" t="s">
        <v>54</v>
      </c>
      <c r="C30" t="s">
        <v>46</v>
      </c>
      <c r="D30">
        <v>80</v>
      </c>
      <c r="E30">
        <v>90</v>
      </c>
      <c r="G30">
        <f t="shared" si="0"/>
        <v>90</v>
      </c>
    </row>
    <row r="31" spans="1:7" x14ac:dyDescent="0.4">
      <c r="A31">
        <v>10010021</v>
      </c>
      <c r="B31" t="s">
        <v>55</v>
      </c>
      <c r="C31" t="s">
        <v>56</v>
      </c>
      <c r="D31">
        <v>79</v>
      </c>
      <c r="E31">
        <v>90</v>
      </c>
      <c r="G31">
        <f t="shared" si="0"/>
        <v>90</v>
      </c>
    </row>
    <row r="32" spans="1:7" x14ac:dyDescent="0.4">
      <c r="A32">
        <v>10010022</v>
      </c>
      <c r="B32" t="s">
        <v>57</v>
      </c>
      <c r="C32" t="s">
        <v>25</v>
      </c>
      <c r="D32">
        <v>78</v>
      </c>
      <c r="E32">
        <v>90</v>
      </c>
      <c r="G32">
        <f t="shared" si="0"/>
        <v>90</v>
      </c>
    </row>
    <row r="33" spans="1:7" x14ac:dyDescent="0.4">
      <c r="A33">
        <v>10010023</v>
      </c>
      <c r="B33" t="s">
        <v>58</v>
      </c>
      <c r="C33" t="s">
        <v>59</v>
      </c>
      <c r="D33">
        <v>77</v>
      </c>
      <c r="E33">
        <v>90</v>
      </c>
      <c r="G33">
        <f t="shared" si="0"/>
        <v>90</v>
      </c>
    </row>
    <row r="34" spans="1:7" x14ac:dyDescent="0.4">
      <c r="A34">
        <v>10010024</v>
      </c>
      <c r="B34" t="s">
        <v>60</v>
      </c>
      <c r="C34" t="s">
        <v>43</v>
      </c>
      <c r="D34">
        <v>76</v>
      </c>
      <c r="E34">
        <v>90</v>
      </c>
      <c r="G34">
        <f t="shared" si="0"/>
        <v>90</v>
      </c>
    </row>
    <row r="35" spans="1:7" x14ac:dyDescent="0.4">
      <c r="A35">
        <v>10010025</v>
      </c>
      <c r="B35" t="s">
        <v>61</v>
      </c>
      <c r="C35" t="s">
        <v>62</v>
      </c>
      <c r="D35">
        <v>75</v>
      </c>
      <c r="G35">
        <f t="shared" si="0"/>
        <v>75</v>
      </c>
    </row>
    <row r="36" spans="1:7" x14ac:dyDescent="0.4">
      <c r="A36">
        <v>10010026</v>
      </c>
      <c r="B36" t="s">
        <v>63</v>
      </c>
      <c r="C36" t="s">
        <v>64</v>
      </c>
      <c r="D36">
        <v>74</v>
      </c>
      <c r="E36">
        <v>90</v>
      </c>
      <c r="G36">
        <f t="shared" si="0"/>
        <v>90</v>
      </c>
    </row>
    <row r="37" spans="1:7" x14ac:dyDescent="0.4">
      <c r="A37">
        <v>10010027</v>
      </c>
      <c r="B37" t="s">
        <v>65</v>
      </c>
      <c r="C37" t="s">
        <v>50</v>
      </c>
      <c r="D37">
        <v>73</v>
      </c>
      <c r="E37">
        <v>90</v>
      </c>
      <c r="G37">
        <f t="shared" si="0"/>
        <v>90</v>
      </c>
    </row>
    <row r="38" spans="1:7" x14ac:dyDescent="0.4">
      <c r="A38">
        <v>10010028</v>
      </c>
      <c r="B38" t="s">
        <v>66</v>
      </c>
      <c r="C38" t="s">
        <v>25</v>
      </c>
      <c r="D38">
        <v>72</v>
      </c>
      <c r="G38">
        <f t="shared" si="0"/>
        <v>72</v>
      </c>
    </row>
    <row r="39" spans="1:7" x14ac:dyDescent="0.4">
      <c r="A39">
        <v>10010029</v>
      </c>
      <c r="B39" t="s">
        <v>67</v>
      </c>
      <c r="C39" t="s">
        <v>62</v>
      </c>
      <c r="D39">
        <v>71</v>
      </c>
      <c r="E39">
        <v>90</v>
      </c>
      <c r="G39">
        <f t="shared" si="0"/>
        <v>90</v>
      </c>
    </row>
    <row r="40" spans="1:7" x14ac:dyDescent="0.4">
      <c r="A40">
        <v>10010030</v>
      </c>
      <c r="B40" t="s">
        <v>68</v>
      </c>
      <c r="C40" t="s">
        <v>69</v>
      </c>
      <c r="D40">
        <v>70</v>
      </c>
      <c r="E40">
        <v>90</v>
      </c>
      <c r="G40">
        <f t="shared" si="0"/>
        <v>90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1]!ApplyFinalScoreFormulasUI">
                <anchor moveWithCells="1" sizeWithCells="1">
                  <from>
                    <xdr:col>0</xdr:col>
                    <xdr:colOff>57150</xdr:colOff>
                    <xdr:row>1</xdr:row>
                    <xdr:rowOff>47625</xdr:rowOff>
                  </from>
                  <to>
                    <xdr:col>2</xdr:col>
                    <xdr:colOff>171450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1]!AddRetestRoundUI">
                <anchor moveWithCells="1" sizeWithCells="1">
                  <from>
                    <xdr:col>2</xdr:col>
                    <xdr:colOff>304800</xdr:colOff>
                    <xdr:row>1</xdr:row>
                    <xdr:rowOff>47625</xdr:rowOff>
                  </from>
                  <to>
                    <xdr:col>4</xdr:col>
                    <xdr:colOff>419100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1]!CompleteRetestUI">
                <anchor moveWithCells="1" sizeWithCells="1">
                  <from>
                    <xdr:col>4</xdr:col>
                    <xdr:colOff>581025</xdr:colOff>
                    <xdr:row>1</xdr:row>
                    <xdr:rowOff>47625</xdr:rowOff>
                  </from>
                  <to>
                    <xdr:col>8</xdr:col>
                    <xdr:colOff>9525</xdr:colOff>
                    <xdr:row>1</xdr:row>
                    <xdr:rowOff>619125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156C5-5484-46E2-BBC8-8E4600415AD8}">
  <sheetPr codeName="sh_rt_template5"/>
  <dimension ref="A1:G40"/>
  <sheetViews>
    <sheetView workbookViewId="0">
      <selection activeCell="E11" sqref="E11"/>
    </sheetView>
  </sheetViews>
  <sheetFormatPr defaultRowHeight="18.75" x14ac:dyDescent="0.4"/>
  <cols>
    <col min="1" max="1" width="11.875" customWidth="1"/>
    <col min="7" max="7" width="10.375" customWidth="1"/>
  </cols>
  <sheetData>
    <row r="1" spans="1:7" ht="33" x14ac:dyDescent="0.4">
      <c r="A1" s="1" t="s">
        <v>0</v>
      </c>
    </row>
    <row r="2" spans="1:7" ht="57" customHeight="1" x14ac:dyDescent="0.4"/>
    <row r="3" spans="1:7" x14ac:dyDescent="0.4">
      <c r="A3" t="s">
        <v>1</v>
      </c>
      <c r="B3" t="s">
        <v>98</v>
      </c>
      <c r="D3" t="s">
        <v>11</v>
      </c>
      <c r="E3">
        <v>100</v>
      </c>
      <c r="G3" t="s">
        <v>93</v>
      </c>
    </row>
    <row r="4" spans="1:7" x14ac:dyDescent="0.4">
      <c r="A4" t="s">
        <v>4</v>
      </c>
      <c r="B4" t="s">
        <v>99</v>
      </c>
      <c r="D4" t="s">
        <v>94</v>
      </c>
      <c r="G4" t="s">
        <v>95</v>
      </c>
    </row>
    <row r="5" spans="1:7" x14ac:dyDescent="0.4">
      <c r="A5" t="s">
        <v>6</v>
      </c>
      <c r="B5" t="s">
        <v>100</v>
      </c>
      <c r="D5" t="s">
        <v>2</v>
      </c>
      <c r="E5" t="s">
        <v>96</v>
      </c>
    </row>
    <row r="6" spans="1:7" x14ac:dyDescent="0.4">
      <c r="A6" t="s">
        <v>9</v>
      </c>
      <c r="B6" t="s">
        <v>21</v>
      </c>
      <c r="D6" t="str">
        <f>IF(E5="内分点","内分比","")</f>
        <v/>
      </c>
    </row>
    <row r="7" spans="1:7" x14ac:dyDescent="0.4">
      <c r="A7" t="s">
        <v>10</v>
      </c>
      <c r="D7" t="s">
        <v>7</v>
      </c>
      <c r="E7" t="s">
        <v>8</v>
      </c>
    </row>
    <row r="10" spans="1:7" s="2" customFormat="1" x14ac:dyDescent="0.4">
      <c r="A10" s="2" t="s">
        <v>12</v>
      </c>
      <c r="B10" s="2" t="s">
        <v>13</v>
      </c>
      <c r="C10" s="2" t="s">
        <v>14</v>
      </c>
      <c r="D10" s="2" t="s">
        <v>15</v>
      </c>
      <c r="E10" s="2" t="s">
        <v>16</v>
      </c>
      <c r="F10" s="2" t="s">
        <v>17</v>
      </c>
      <c r="G10" s="2" t="s">
        <v>97</v>
      </c>
    </row>
    <row r="11" spans="1:7" x14ac:dyDescent="0.4">
      <c r="A11">
        <v>10010001</v>
      </c>
      <c r="B11" t="s">
        <v>22</v>
      </c>
      <c r="C11" t="s">
        <v>23</v>
      </c>
      <c r="D11">
        <v>99</v>
      </c>
    </row>
    <row r="12" spans="1:7" x14ac:dyDescent="0.4">
      <c r="A12">
        <v>10010002</v>
      </c>
      <c r="B12" t="s">
        <v>24</v>
      </c>
      <c r="C12" t="s">
        <v>25</v>
      </c>
      <c r="D12">
        <v>98</v>
      </c>
    </row>
    <row r="13" spans="1:7" x14ac:dyDescent="0.4">
      <c r="A13">
        <v>10010003</v>
      </c>
      <c r="B13" t="s">
        <v>26</v>
      </c>
      <c r="C13" t="s">
        <v>27</v>
      </c>
      <c r="D13">
        <v>97</v>
      </c>
    </row>
    <row r="14" spans="1:7" x14ac:dyDescent="0.4">
      <c r="A14">
        <v>10010004</v>
      </c>
      <c r="B14" t="s">
        <v>28</v>
      </c>
      <c r="C14" t="s">
        <v>29</v>
      </c>
      <c r="D14">
        <v>96</v>
      </c>
    </row>
    <row r="15" spans="1:7" x14ac:dyDescent="0.4">
      <c r="A15">
        <v>10010005</v>
      </c>
      <c r="B15" t="s">
        <v>30</v>
      </c>
      <c r="C15" t="s">
        <v>27</v>
      </c>
      <c r="D15">
        <v>95</v>
      </c>
    </row>
    <row r="16" spans="1:7" x14ac:dyDescent="0.4">
      <c r="A16">
        <v>10010006</v>
      </c>
      <c r="B16" t="s">
        <v>31</v>
      </c>
      <c r="C16" t="s">
        <v>25</v>
      </c>
      <c r="D16">
        <v>94</v>
      </c>
    </row>
    <row r="17" spans="1:4" x14ac:dyDescent="0.4">
      <c r="A17">
        <v>10010007</v>
      </c>
      <c r="B17" t="s">
        <v>32</v>
      </c>
      <c r="C17" t="s">
        <v>33</v>
      </c>
      <c r="D17">
        <v>93</v>
      </c>
    </row>
    <row r="18" spans="1:4" x14ac:dyDescent="0.4">
      <c r="A18">
        <v>10010008</v>
      </c>
      <c r="B18" t="s">
        <v>34</v>
      </c>
      <c r="C18" t="s">
        <v>35</v>
      </c>
      <c r="D18">
        <v>92</v>
      </c>
    </row>
    <row r="19" spans="1:4" x14ac:dyDescent="0.4">
      <c r="A19">
        <v>10010009</v>
      </c>
      <c r="B19" t="s">
        <v>36</v>
      </c>
      <c r="C19" t="s">
        <v>37</v>
      </c>
      <c r="D19">
        <v>91</v>
      </c>
    </row>
    <row r="20" spans="1:4" x14ac:dyDescent="0.4">
      <c r="A20">
        <v>10010010</v>
      </c>
      <c r="B20" t="s">
        <v>38</v>
      </c>
      <c r="C20" t="s">
        <v>39</v>
      </c>
      <c r="D20">
        <v>90</v>
      </c>
    </row>
    <row r="21" spans="1:4" x14ac:dyDescent="0.4">
      <c r="A21">
        <v>10010011</v>
      </c>
      <c r="B21" t="s">
        <v>40</v>
      </c>
      <c r="C21" t="s">
        <v>41</v>
      </c>
      <c r="D21">
        <v>89</v>
      </c>
    </row>
    <row r="22" spans="1:4" x14ac:dyDescent="0.4">
      <c r="A22">
        <v>10010012</v>
      </c>
      <c r="B22" t="s">
        <v>42</v>
      </c>
      <c r="C22" t="s">
        <v>43</v>
      </c>
      <c r="D22">
        <v>90</v>
      </c>
    </row>
    <row r="23" spans="1:4" x14ac:dyDescent="0.4">
      <c r="A23">
        <v>10010013</v>
      </c>
      <c r="B23" t="s">
        <v>44</v>
      </c>
      <c r="C23" t="s">
        <v>37</v>
      </c>
      <c r="D23">
        <v>90</v>
      </c>
    </row>
    <row r="24" spans="1:4" x14ac:dyDescent="0.4">
      <c r="A24">
        <v>10010014</v>
      </c>
      <c r="B24" t="s">
        <v>45</v>
      </c>
      <c r="C24" t="s">
        <v>46</v>
      </c>
      <c r="D24">
        <v>86</v>
      </c>
    </row>
    <row r="25" spans="1:4" x14ac:dyDescent="0.4">
      <c r="A25">
        <v>10010015</v>
      </c>
      <c r="B25" t="s">
        <v>47</v>
      </c>
      <c r="C25" t="s">
        <v>37</v>
      </c>
      <c r="D25">
        <v>90</v>
      </c>
    </row>
    <row r="26" spans="1:4" x14ac:dyDescent="0.4">
      <c r="A26">
        <v>10010016</v>
      </c>
      <c r="B26" t="s">
        <v>48</v>
      </c>
      <c r="C26" t="s">
        <v>46</v>
      </c>
      <c r="D26">
        <v>90</v>
      </c>
    </row>
    <row r="27" spans="1:4" x14ac:dyDescent="0.4">
      <c r="A27">
        <v>10010017</v>
      </c>
      <c r="B27" t="s">
        <v>49</v>
      </c>
      <c r="C27" t="s">
        <v>50</v>
      </c>
      <c r="D27">
        <v>90</v>
      </c>
    </row>
    <row r="28" spans="1:4" x14ac:dyDescent="0.4">
      <c r="A28">
        <v>10010018</v>
      </c>
      <c r="B28" t="s">
        <v>51</v>
      </c>
      <c r="C28" t="s">
        <v>25</v>
      </c>
      <c r="D28">
        <v>90</v>
      </c>
    </row>
    <row r="29" spans="1:4" x14ac:dyDescent="0.4">
      <c r="A29">
        <v>10010019</v>
      </c>
      <c r="B29" t="s">
        <v>52</v>
      </c>
      <c r="C29" t="s">
        <v>53</v>
      </c>
      <c r="D29">
        <v>81</v>
      </c>
    </row>
    <row r="30" spans="1:4" x14ac:dyDescent="0.4">
      <c r="A30">
        <v>10010020</v>
      </c>
      <c r="B30" t="s">
        <v>54</v>
      </c>
      <c r="C30" t="s">
        <v>46</v>
      </c>
      <c r="D30">
        <v>90</v>
      </c>
    </row>
    <row r="31" spans="1:4" x14ac:dyDescent="0.4">
      <c r="A31">
        <v>10010021</v>
      </c>
      <c r="B31" t="s">
        <v>55</v>
      </c>
      <c r="C31" t="s">
        <v>56</v>
      </c>
      <c r="D31">
        <v>90</v>
      </c>
    </row>
    <row r="32" spans="1:4" x14ac:dyDescent="0.4">
      <c r="A32">
        <v>10010022</v>
      </c>
      <c r="B32" t="s">
        <v>57</v>
      </c>
      <c r="C32" t="s">
        <v>25</v>
      </c>
      <c r="D32">
        <v>90</v>
      </c>
    </row>
    <row r="33" spans="1:4" x14ac:dyDescent="0.4">
      <c r="A33">
        <v>10010023</v>
      </c>
      <c r="B33" t="s">
        <v>58</v>
      </c>
      <c r="C33" t="s">
        <v>59</v>
      </c>
      <c r="D33">
        <v>90</v>
      </c>
    </row>
    <row r="34" spans="1:4" x14ac:dyDescent="0.4">
      <c r="A34">
        <v>10010024</v>
      </c>
      <c r="B34" t="s">
        <v>60</v>
      </c>
      <c r="C34" t="s">
        <v>43</v>
      </c>
      <c r="D34">
        <v>90</v>
      </c>
    </row>
    <row r="35" spans="1:4" x14ac:dyDescent="0.4">
      <c r="A35">
        <v>10010025</v>
      </c>
      <c r="B35" t="s">
        <v>61</v>
      </c>
      <c r="C35" t="s">
        <v>62</v>
      </c>
      <c r="D35">
        <v>75</v>
      </c>
    </row>
    <row r="36" spans="1:4" x14ac:dyDescent="0.4">
      <c r="A36">
        <v>10010026</v>
      </c>
      <c r="B36" t="s">
        <v>63</v>
      </c>
      <c r="C36" t="s">
        <v>64</v>
      </c>
      <c r="D36">
        <v>90</v>
      </c>
    </row>
    <row r="37" spans="1:4" x14ac:dyDescent="0.4">
      <c r="A37">
        <v>10010027</v>
      </c>
      <c r="B37" t="s">
        <v>65</v>
      </c>
      <c r="C37" t="s">
        <v>50</v>
      </c>
      <c r="D37">
        <v>90</v>
      </c>
    </row>
    <row r="38" spans="1:4" x14ac:dyDescent="0.4">
      <c r="A38">
        <v>10010028</v>
      </c>
      <c r="B38" t="s">
        <v>66</v>
      </c>
      <c r="C38" t="s">
        <v>25</v>
      </c>
      <c r="D38">
        <v>72</v>
      </c>
    </row>
    <row r="39" spans="1:4" x14ac:dyDescent="0.4">
      <c r="A39">
        <v>10010029</v>
      </c>
      <c r="B39" t="s">
        <v>67</v>
      </c>
      <c r="C39" t="s">
        <v>62</v>
      </c>
      <c r="D39">
        <v>90</v>
      </c>
    </row>
    <row r="40" spans="1:4" x14ac:dyDescent="0.4">
      <c r="A40">
        <v>10010030</v>
      </c>
      <c r="B40" t="s">
        <v>68</v>
      </c>
      <c r="C40" t="s">
        <v>69</v>
      </c>
      <c r="D40">
        <v>90</v>
      </c>
    </row>
  </sheetData>
  <phoneticPr fontId="1"/>
  <dataValidations count="1">
    <dataValidation type="list" allowBlank="1" showInputMessage="1" showErrorMessage="1" sqref="E5" xr:uid="{D70B02F5-EC43-497D-962D-DEA0E6D06928}">
      <formula1>"本試のみ,内分点,合格点,最大値"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1]!ApplyFinalScoreFormulasUI">
                <anchor>
                  <from>
                    <xdr:col>0</xdr:col>
                    <xdr:colOff>57150</xdr:colOff>
                    <xdr:row>1</xdr:row>
                    <xdr:rowOff>47625</xdr:rowOff>
                  </from>
                  <to>
                    <xdr:col>2</xdr:col>
                    <xdr:colOff>171450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1]!AddRetestRoundUI">
                <anchor>
                  <from>
                    <xdr:col>2</xdr:col>
                    <xdr:colOff>304800</xdr:colOff>
                    <xdr:row>1</xdr:row>
                    <xdr:rowOff>47625</xdr:rowOff>
                  </from>
                  <to>
                    <xdr:col>4</xdr:col>
                    <xdr:colOff>419100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1]!CompleteRetestUI">
                <anchor>
                  <from>
                    <xdr:col>4</xdr:col>
                    <xdr:colOff>581025</xdr:colOff>
                    <xdr:row>1</xdr:row>
                    <xdr:rowOff>47625</xdr:rowOff>
                  </from>
                  <to>
                    <xdr:col>7</xdr:col>
                    <xdr:colOff>9525</xdr:colOff>
                    <xdr:row>1</xdr:row>
                    <xdr:rowOff>619125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168D7-3AD4-481E-A5FA-B70C1B6051D9}">
  <sheetPr codeName="sh_rt_template6"/>
  <dimension ref="A1:G40"/>
  <sheetViews>
    <sheetView workbookViewId="0">
      <selection activeCell="G11" sqref="G11"/>
    </sheetView>
  </sheetViews>
  <sheetFormatPr defaultRowHeight="18.75" x14ac:dyDescent="0.4"/>
  <cols>
    <col min="1" max="1" width="11.875" customWidth="1"/>
    <col min="7" max="7" width="10.375" customWidth="1"/>
  </cols>
  <sheetData>
    <row r="1" spans="1:7" ht="33" x14ac:dyDescent="0.4">
      <c r="A1" s="1" t="s">
        <v>0</v>
      </c>
    </row>
    <row r="2" spans="1:7" ht="57" customHeight="1" x14ac:dyDescent="0.4"/>
    <row r="3" spans="1:7" x14ac:dyDescent="0.4">
      <c r="A3" t="s">
        <v>1</v>
      </c>
      <c r="B3" t="s">
        <v>102</v>
      </c>
      <c r="D3" t="s">
        <v>11</v>
      </c>
      <c r="E3">
        <v>100</v>
      </c>
      <c r="G3" t="s">
        <v>93</v>
      </c>
    </row>
    <row r="4" spans="1:7" x14ac:dyDescent="0.4">
      <c r="A4" t="s">
        <v>4</v>
      </c>
      <c r="B4" t="s">
        <v>19</v>
      </c>
      <c r="D4" t="s">
        <v>94</v>
      </c>
      <c r="G4" t="s">
        <v>95</v>
      </c>
    </row>
    <row r="5" spans="1:7" x14ac:dyDescent="0.4">
      <c r="A5" t="s">
        <v>6</v>
      </c>
      <c r="B5" t="s">
        <v>103</v>
      </c>
      <c r="D5" t="s">
        <v>2</v>
      </c>
      <c r="E5" t="s">
        <v>96</v>
      </c>
    </row>
    <row r="6" spans="1:7" x14ac:dyDescent="0.4">
      <c r="A6" t="s">
        <v>9</v>
      </c>
      <c r="B6" t="s">
        <v>74</v>
      </c>
      <c r="D6" t="str">
        <f>IF(E5="内分点","内分比","")</f>
        <v/>
      </c>
    </row>
    <row r="7" spans="1:7" x14ac:dyDescent="0.4">
      <c r="A7" t="s">
        <v>10</v>
      </c>
      <c r="D7" t="s">
        <v>7</v>
      </c>
      <c r="E7" t="s">
        <v>8</v>
      </c>
    </row>
    <row r="10" spans="1:7" s="2" customFormat="1" x14ac:dyDescent="0.4">
      <c r="A10" s="2" t="s">
        <v>12</v>
      </c>
      <c r="B10" s="2" t="s">
        <v>13</v>
      </c>
      <c r="C10" s="2" t="s">
        <v>14</v>
      </c>
      <c r="D10" s="2" t="s">
        <v>15</v>
      </c>
      <c r="E10" s="2" t="s">
        <v>16</v>
      </c>
      <c r="F10" s="2" t="s">
        <v>17</v>
      </c>
      <c r="G10" s="2" t="s">
        <v>97</v>
      </c>
    </row>
    <row r="11" spans="1:7" x14ac:dyDescent="0.4">
      <c r="A11">
        <v>10010001</v>
      </c>
      <c r="B11" t="s">
        <v>22</v>
      </c>
      <c r="C11" t="s">
        <v>23</v>
      </c>
      <c r="D11">
        <v>99</v>
      </c>
      <c r="G11" t="str">
        <f>IF($E$4="","",IF(F11&gt;=$E$4,"合格"))</f>
        <v/>
      </c>
    </row>
    <row r="12" spans="1:7" x14ac:dyDescent="0.4">
      <c r="A12">
        <v>10010002</v>
      </c>
      <c r="B12" t="s">
        <v>24</v>
      </c>
      <c r="C12" t="s">
        <v>25</v>
      </c>
      <c r="D12">
        <v>98</v>
      </c>
      <c r="G12" t="str">
        <f t="shared" ref="G12:G40" si="0">IF($E$4="","",IF(F12&gt;=$E$4,"合格"))</f>
        <v/>
      </c>
    </row>
    <row r="13" spans="1:7" x14ac:dyDescent="0.4">
      <c r="A13">
        <v>10010003</v>
      </c>
      <c r="B13" t="s">
        <v>26</v>
      </c>
      <c r="C13" t="s">
        <v>27</v>
      </c>
      <c r="D13">
        <v>97</v>
      </c>
      <c r="G13" t="str">
        <f t="shared" si="0"/>
        <v/>
      </c>
    </row>
    <row r="14" spans="1:7" x14ac:dyDescent="0.4">
      <c r="A14">
        <v>10010004</v>
      </c>
      <c r="B14" t="s">
        <v>28</v>
      </c>
      <c r="C14" t="s">
        <v>29</v>
      </c>
      <c r="D14">
        <v>96</v>
      </c>
      <c r="G14" t="str">
        <f t="shared" si="0"/>
        <v/>
      </c>
    </row>
    <row r="15" spans="1:7" x14ac:dyDescent="0.4">
      <c r="A15">
        <v>10010005</v>
      </c>
      <c r="B15" t="s">
        <v>30</v>
      </c>
      <c r="C15" t="s">
        <v>27</v>
      </c>
      <c r="D15">
        <v>95</v>
      </c>
      <c r="G15" t="str">
        <f t="shared" si="0"/>
        <v/>
      </c>
    </row>
    <row r="16" spans="1:7" x14ac:dyDescent="0.4">
      <c r="A16">
        <v>10010006</v>
      </c>
      <c r="B16" t="s">
        <v>31</v>
      </c>
      <c r="C16" t="s">
        <v>25</v>
      </c>
      <c r="D16">
        <v>94</v>
      </c>
      <c r="G16" t="str">
        <f t="shared" si="0"/>
        <v/>
      </c>
    </row>
    <row r="17" spans="1:7" x14ac:dyDescent="0.4">
      <c r="A17">
        <v>10010007</v>
      </c>
      <c r="B17" t="s">
        <v>32</v>
      </c>
      <c r="C17" t="s">
        <v>33</v>
      </c>
      <c r="D17">
        <v>93</v>
      </c>
      <c r="G17" t="str">
        <f t="shared" si="0"/>
        <v/>
      </c>
    </row>
    <row r="18" spans="1:7" x14ac:dyDescent="0.4">
      <c r="A18">
        <v>10010008</v>
      </c>
      <c r="B18" t="s">
        <v>34</v>
      </c>
      <c r="C18" t="s">
        <v>35</v>
      </c>
      <c r="D18">
        <v>92</v>
      </c>
      <c r="G18" t="str">
        <f t="shared" si="0"/>
        <v/>
      </c>
    </row>
    <row r="19" spans="1:7" x14ac:dyDescent="0.4">
      <c r="A19">
        <v>10010009</v>
      </c>
      <c r="B19" t="s">
        <v>36</v>
      </c>
      <c r="C19" t="s">
        <v>37</v>
      </c>
      <c r="D19">
        <v>91</v>
      </c>
      <c r="G19" t="str">
        <f t="shared" si="0"/>
        <v/>
      </c>
    </row>
    <row r="20" spans="1:7" x14ac:dyDescent="0.4">
      <c r="A20">
        <v>10010010</v>
      </c>
      <c r="B20" t="s">
        <v>38</v>
      </c>
      <c r="C20" t="s">
        <v>39</v>
      </c>
      <c r="D20">
        <v>90</v>
      </c>
      <c r="G20" t="str">
        <f t="shared" si="0"/>
        <v/>
      </c>
    </row>
    <row r="21" spans="1:7" x14ac:dyDescent="0.4">
      <c r="A21">
        <v>10010011</v>
      </c>
      <c r="B21" t="s">
        <v>40</v>
      </c>
      <c r="C21" t="s">
        <v>41</v>
      </c>
      <c r="D21">
        <v>89</v>
      </c>
      <c r="G21" t="str">
        <f t="shared" si="0"/>
        <v/>
      </c>
    </row>
    <row r="22" spans="1:7" x14ac:dyDescent="0.4">
      <c r="A22">
        <v>10010012</v>
      </c>
      <c r="B22" t="s">
        <v>42</v>
      </c>
      <c r="C22" t="s">
        <v>43</v>
      </c>
      <c r="D22">
        <v>90</v>
      </c>
      <c r="G22" t="str">
        <f t="shared" si="0"/>
        <v/>
      </c>
    </row>
    <row r="23" spans="1:7" x14ac:dyDescent="0.4">
      <c r="A23">
        <v>10010013</v>
      </c>
      <c r="B23" t="s">
        <v>44</v>
      </c>
      <c r="C23" t="s">
        <v>37</v>
      </c>
      <c r="D23">
        <v>90</v>
      </c>
      <c r="G23" t="str">
        <f t="shared" si="0"/>
        <v/>
      </c>
    </row>
    <row r="24" spans="1:7" x14ac:dyDescent="0.4">
      <c r="A24">
        <v>10010014</v>
      </c>
      <c r="B24" t="s">
        <v>45</v>
      </c>
      <c r="C24" t="s">
        <v>46</v>
      </c>
      <c r="D24">
        <v>86</v>
      </c>
      <c r="G24" t="str">
        <f t="shared" si="0"/>
        <v/>
      </c>
    </row>
    <row r="25" spans="1:7" x14ac:dyDescent="0.4">
      <c r="A25">
        <v>10010015</v>
      </c>
      <c r="B25" t="s">
        <v>47</v>
      </c>
      <c r="C25" t="s">
        <v>37</v>
      </c>
      <c r="D25">
        <v>90</v>
      </c>
      <c r="G25" t="str">
        <f t="shared" si="0"/>
        <v/>
      </c>
    </row>
    <row r="26" spans="1:7" x14ac:dyDescent="0.4">
      <c r="A26">
        <v>10010016</v>
      </c>
      <c r="B26" t="s">
        <v>48</v>
      </c>
      <c r="C26" t="s">
        <v>46</v>
      </c>
      <c r="D26">
        <v>90</v>
      </c>
      <c r="G26" t="str">
        <f t="shared" si="0"/>
        <v/>
      </c>
    </row>
    <row r="27" spans="1:7" x14ac:dyDescent="0.4">
      <c r="A27">
        <v>10010017</v>
      </c>
      <c r="B27" t="s">
        <v>49</v>
      </c>
      <c r="C27" t="s">
        <v>50</v>
      </c>
      <c r="D27">
        <v>90</v>
      </c>
      <c r="G27" t="str">
        <f t="shared" si="0"/>
        <v/>
      </c>
    </row>
    <row r="28" spans="1:7" x14ac:dyDescent="0.4">
      <c r="A28">
        <v>10010018</v>
      </c>
      <c r="B28" t="s">
        <v>51</v>
      </c>
      <c r="C28" t="s">
        <v>25</v>
      </c>
      <c r="D28">
        <v>90</v>
      </c>
      <c r="G28" t="str">
        <f t="shared" si="0"/>
        <v/>
      </c>
    </row>
    <row r="29" spans="1:7" x14ac:dyDescent="0.4">
      <c r="A29">
        <v>10010019</v>
      </c>
      <c r="B29" t="s">
        <v>52</v>
      </c>
      <c r="C29" t="s">
        <v>53</v>
      </c>
      <c r="D29">
        <v>81</v>
      </c>
      <c r="G29" t="str">
        <f t="shared" si="0"/>
        <v/>
      </c>
    </row>
    <row r="30" spans="1:7" x14ac:dyDescent="0.4">
      <c r="A30">
        <v>10010020</v>
      </c>
      <c r="B30" t="s">
        <v>54</v>
      </c>
      <c r="C30" t="s">
        <v>46</v>
      </c>
      <c r="D30">
        <v>90</v>
      </c>
      <c r="G30" t="str">
        <f t="shared" si="0"/>
        <v/>
      </c>
    </row>
    <row r="31" spans="1:7" x14ac:dyDescent="0.4">
      <c r="A31">
        <v>10010021</v>
      </c>
      <c r="B31" t="s">
        <v>55</v>
      </c>
      <c r="C31" t="s">
        <v>56</v>
      </c>
      <c r="D31">
        <v>90</v>
      </c>
      <c r="G31" t="str">
        <f t="shared" si="0"/>
        <v/>
      </c>
    </row>
    <row r="32" spans="1:7" x14ac:dyDescent="0.4">
      <c r="A32">
        <v>10010022</v>
      </c>
      <c r="B32" t="s">
        <v>57</v>
      </c>
      <c r="C32" t="s">
        <v>25</v>
      </c>
      <c r="D32">
        <v>90</v>
      </c>
      <c r="G32" t="str">
        <f t="shared" si="0"/>
        <v/>
      </c>
    </row>
    <row r="33" spans="1:7" x14ac:dyDescent="0.4">
      <c r="A33">
        <v>10010023</v>
      </c>
      <c r="B33" t="s">
        <v>58</v>
      </c>
      <c r="C33" t="s">
        <v>59</v>
      </c>
      <c r="D33">
        <v>90</v>
      </c>
      <c r="G33" t="str">
        <f t="shared" si="0"/>
        <v/>
      </c>
    </row>
    <row r="34" spans="1:7" x14ac:dyDescent="0.4">
      <c r="A34">
        <v>10010024</v>
      </c>
      <c r="B34" t="s">
        <v>60</v>
      </c>
      <c r="C34" t="s">
        <v>43</v>
      </c>
      <c r="D34">
        <v>90</v>
      </c>
      <c r="G34" t="str">
        <f t="shared" si="0"/>
        <v/>
      </c>
    </row>
    <row r="35" spans="1:7" x14ac:dyDescent="0.4">
      <c r="A35">
        <v>10010025</v>
      </c>
      <c r="B35" t="s">
        <v>61</v>
      </c>
      <c r="C35" t="s">
        <v>62</v>
      </c>
      <c r="D35">
        <v>75</v>
      </c>
      <c r="G35" t="str">
        <f t="shared" si="0"/>
        <v/>
      </c>
    </row>
    <row r="36" spans="1:7" x14ac:dyDescent="0.4">
      <c r="A36">
        <v>10010026</v>
      </c>
      <c r="B36" t="s">
        <v>63</v>
      </c>
      <c r="C36" t="s">
        <v>64</v>
      </c>
      <c r="D36">
        <v>90</v>
      </c>
      <c r="G36" t="str">
        <f t="shared" si="0"/>
        <v/>
      </c>
    </row>
    <row r="37" spans="1:7" x14ac:dyDescent="0.4">
      <c r="A37">
        <v>10010027</v>
      </c>
      <c r="B37" t="s">
        <v>65</v>
      </c>
      <c r="C37" t="s">
        <v>50</v>
      </c>
      <c r="D37">
        <v>90</v>
      </c>
      <c r="G37" t="str">
        <f t="shared" si="0"/>
        <v/>
      </c>
    </row>
    <row r="38" spans="1:7" x14ac:dyDescent="0.4">
      <c r="A38">
        <v>10010028</v>
      </c>
      <c r="B38" t="s">
        <v>66</v>
      </c>
      <c r="C38" t="s">
        <v>25</v>
      </c>
      <c r="D38">
        <v>72</v>
      </c>
      <c r="G38" t="str">
        <f t="shared" si="0"/>
        <v/>
      </c>
    </row>
    <row r="39" spans="1:7" x14ac:dyDescent="0.4">
      <c r="A39">
        <v>10010029</v>
      </c>
      <c r="B39" t="s">
        <v>67</v>
      </c>
      <c r="C39" t="s">
        <v>62</v>
      </c>
      <c r="D39">
        <v>90</v>
      </c>
      <c r="G39" t="str">
        <f t="shared" si="0"/>
        <v/>
      </c>
    </row>
    <row r="40" spans="1:7" x14ac:dyDescent="0.4">
      <c r="A40">
        <v>10010030</v>
      </c>
      <c r="B40" t="s">
        <v>68</v>
      </c>
      <c r="C40" t="s">
        <v>69</v>
      </c>
      <c r="D40">
        <v>90</v>
      </c>
      <c r="G40" t="str">
        <f t="shared" si="0"/>
        <v/>
      </c>
    </row>
  </sheetData>
  <phoneticPr fontId="1"/>
  <dataValidations count="1">
    <dataValidation type="list" allowBlank="1" showInputMessage="1" showErrorMessage="1" sqref="E5" xr:uid="{2C081543-464A-4393-B388-99A76AB7C975}">
      <formula1>"本試のみ,内分点,合格点,最大値"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1]!ApplyFinalScoreFormulasUI">
                <anchor>
                  <from>
                    <xdr:col>0</xdr:col>
                    <xdr:colOff>57150</xdr:colOff>
                    <xdr:row>1</xdr:row>
                    <xdr:rowOff>47625</xdr:rowOff>
                  </from>
                  <to>
                    <xdr:col>2</xdr:col>
                    <xdr:colOff>171450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1]!AddRetestRoundUI">
                <anchor>
                  <from>
                    <xdr:col>2</xdr:col>
                    <xdr:colOff>304800</xdr:colOff>
                    <xdr:row>1</xdr:row>
                    <xdr:rowOff>47625</xdr:rowOff>
                  </from>
                  <to>
                    <xdr:col>4</xdr:col>
                    <xdr:colOff>419100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1]!CompleteRetestUI">
                <anchor>
                  <from>
                    <xdr:col>4</xdr:col>
                    <xdr:colOff>581025</xdr:colOff>
                    <xdr:row>1</xdr:row>
                    <xdr:rowOff>47625</xdr:rowOff>
                  </from>
                  <to>
                    <xdr:col>7</xdr:col>
                    <xdr:colOff>9525</xdr:colOff>
                    <xdr:row>1</xdr:row>
                    <xdr:rowOff>619125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BCED95-578C-443C-A065-ED948262263D}">
  <sheetPr codeName="sh_rt_template"/>
  <dimension ref="A1:G40"/>
  <sheetViews>
    <sheetView workbookViewId="0">
      <selection activeCell="D6" sqref="D6"/>
    </sheetView>
  </sheetViews>
  <sheetFormatPr defaultRowHeight="18.75" x14ac:dyDescent="0.4"/>
  <cols>
    <col min="1" max="1" width="11.875" customWidth="1"/>
    <col min="7" max="7" width="10.375" customWidth="1"/>
  </cols>
  <sheetData>
    <row r="1" spans="1:7" ht="33" x14ac:dyDescent="0.4">
      <c r="A1" s="1" t="s">
        <v>0</v>
      </c>
    </row>
    <row r="2" spans="1:7" ht="57" customHeight="1" x14ac:dyDescent="0.4"/>
    <row r="3" spans="1:7" x14ac:dyDescent="0.4">
      <c r="A3" t="s">
        <v>1</v>
      </c>
      <c r="B3" t="s">
        <v>102</v>
      </c>
      <c r="D3" t="s">
        <v>11</v>
      </c>
      <c r="E3">
        <v>100</v>
      </c>
      <c r="G3" t="s">
        <v>93</v>
      </c>
    </row>
    <row r="4" spans="1:7" x14ac:dyDescent="0.4">
      <c r="A4" t="s">
        <v>4</v>
      </c>
      <c r="B4" t="s">
        <v>19</v>
      </c>
      <c r="D4" t="s">
        <v>94</v>
      </c>
      <c r="G4" t="s">
        <v>95</v>
      </c>
    </row>
    <row r="5" spans="1:7" x14ac:dyDescent="0.4">
      <c r="A5" t="s">
        <v>6</v>
      </c>
      <c r="B5" t="s">
        <v>103</v>
      </c>
      <c r="D5" t="s">
        <v>2</v>
      </c>
      <c r="E5" t="s">
        <v>96</v>
      </c>
    </row>
    <row r="6" spans="1:7" x14ac:dyDescent="0.4">
      <c r="A6" t="s">
        <v>9</v>
      </c>
      <c r="B6" t="s">
        <v>74</v>
      </c>
      <c r="D6" t="str">
        <f>IF(E5="内分点","内分比","")</f>
        <v/>
      </c>
    </row>
    <row r="7" spans="1:7" x14ac:dyDescent="0.4">
      <c r="A7" t="s">
        <v>10</v>
      </c>
      <c r="D7" t="s">
        <v>7</v>
      </c>
      <c r="E7" t="s">
        <v>8</v>
      </c>
    </row>
    <row r="10" spans="1:7" s="2" customFormat="1" x14ac:dyDescent="0.4">
      <c r="A10" s="2" t="s">
        <v>12</v>
      </c>
      <c r="B10" s="2" t="s">
        <v>13</v>
      </c>
      <c r="C10" s="2" t="s">
        <v>14</v>
      </c>
      <c r="D10" s="2" t="s">
        <v>15</v>
      </c>
      <c r="E10" s="2" t="s">
        <v>16</v>
      </c>
      <c r="F10" s="2" t="s">
        <v>17</v>
      </c>
      <c r="G10" s="2" t="s">
        <v>97</v>
      </c>
    </row>
    <row r="11" spans="1:7" x14ac:dyDescent="0.4">
      <c r="A11">
        <v>10010001</v>
      </c>
      <c r="B11" t="s">
        <v>22</v>
      </c>
      <c r="C11" t="s">
        <v>23</v>
      </c>
      <c r="D11">
        <v>99</v>
      </c>
      <c r="G11" t="str">
        <f>IF($E$4="","",IF(F11&gt;=$E$4,"合格"))</f>
        <v/>
      </c>
    </row>
    <row r="12" spans="1:7" x14ac:dyDescent="0.4">
      <c r="A12">
        <v>10010002</v>
      </c>
      <c r="B12" t="s">
        <v>24</v>
      </c>
      <c r="C12" t="s">
        <v>25</v>
      </c>
      <c r="D12">
        <v>98</v>
      </c>
      <c r="G12" t="str">
        <f t="shared" ref="G12:G40" si="0">IF($E$4="","",IF(F12&gt;=$E$4,"合格"))</f>
        <v/>
      </c>
    </row>
    <row r="13" spans="1:7" x14ac:dyDescent="0.4">
      <c r="A13">
        <v>10010003</v>
      </c>
      <c r="B13" t="s">
        <v>26</v>
      </c>
      <c r="C13" t="s">
        <v>27</v>
      </c>
      <c r="D13">
        <v>97</v>
      </c>
      <c r="G13" t="str">
        <f t="shared" si="0"/>
        <v/>
      </c>
    </row>
    <row r="14" spans="1:7" x14ac:dyDescent="0.4">
      <c r="A14">
        <v>10010004</v>
      </c>
      <c r="B14" t="s">
        <v>28</v>
      </c>
      <c r="C14" t="s">
        <v>29</v>
      </c>
      <c r="D14">
        <v>96</v>
      </c>
      <c r="G14" t="str">
        <f t="shared" si="0"/>
        <v/>
      </c>
    </row>
    <row r="15" spans="1:7" x14ac:dyDescent="0.4">
      <c r="A15">
        <v>10010005</v>
      </c>
      <c r="B15" t="s">
        <v>30</v>
      </c>
      <c r="C15" t="s">
        <v>27</v>
      </c>
      <c r="D15">
        <v>95</v>
      </c>
      <c r="G15" t="str">
        <f t="shared" si="0"/>
        <v/>
      </c>
    </row>
    <row r="16" spans="1:7" x14ac:dyDescent="0.4">
      <c r="A16">
        <v>10010006</v>
      </c>
      <c r="B16" t="s">
        <v>31</v>
      </c>
      <c r="C16" t="s">
        <v>25</v>
      </c>
      <c r="D16">
        <v>94</v>
      </c>
      <c r="G16" t="str">
        <f t="shared" si="0"/>
        <v/>
      </c>
    </row>
    <row r="17" spans="1:7" x14ac:dyDescent="0.4">
      <c r="A17">
        <v>10010007</v>
      </c>
      <c r="B17" t="s">
        <v>32</v>
      </c>
      <c r="C17" t="s">
        <v>33</v>
      </c>
      <c r="D17">
        <v>93</v>
      </c>
      <c r="G17" t="str">
        <f t="shared" si="0"/>
        <v/>
      </c>
    </row>
    <row r="18" spans="1:7" x14ac:dyDescent="0.4">
      <c r="A18">
        <v>10010008</v>
      </c>
      <c r="B18" t="s">
        <v>34</v>
      </c>
      <c r="C18" t="s">
        <v>35</v>
      </c>
      <c r="D18">
        <v>92</v>
      </c>
      <c r="G18" t="str">
        <f t="shared" si="0"/>
        <v/>
      </c>
    </row>
    <row r="19" spans="1:7" x14ac:dyDescent="0.4">
      <c r="A19">
        <v>10010009</v>
      </c>
      <c r="B19" t="s">
        <v>36</v>
      </c>
      <c r="C19" t="s">
        <v>37</v>
      </c>
      <c r="D19">
        <v>91</v>
      </c>
      <c r="G19" t="str">
        <f t="shared" si="0"/>
        <v/>
      </c>
    </row>
    <row r="20" spans="1:7" x14ac:dyDescent="0.4">
      <c r="A20">
        <v>10010010</v>
      </c>
      <c r="B20" t="s">
        <v>38</v>
      </c>
      <c r="C20" t="s">
        <v>39</v>
      </c>
      <c r="D20">
        <v>90</v>
      </c>
      <c r="G20" t="str">
        <f t="shared" si="0"/>
        <v/>
      </c>
    </row>
    <row r="21" spans="1:7" x14ac:dyDescent="0.4">
      <c r="A21">
        <v>10010011</v>
      </c>
      <c r="B21" t="s">
        <v>40</v>
      </c>
      <c r="C21" t="s">
        <v>41</v>
      </c>
      <c r="D21">
        <v>89</v>
      </c>
      <c r="G21" t="str">
        <f t="shared" si="0"/>
        <v/>
      </c>
    </row>
    <row r="22" spans="1:7" x14ac:dyDescent="0.4">
      <c r="A22">
        <v>10010012</v>
      </c>
      <c r="B22" t="s">
        <v>42</v>
      </c>
      <c r="C22" t="s">
        <v>43</v>
      </c>
      <c r="D22">
        <v>90</v>
      </c>
      <c r="G22" t="str">
        <f t="shared" si="0"/>
        <v/>
      </c>
    </row>
    <row r="23" spans="1:7" x14ac:dyDescent="0.4">
      <c r="A23">
        <v>10010013</v>
      </c>
      <c r="B23" t="s">
        <v>44</v>
      </c>
      <c r="C23" t="s">
        <v>37</v>
      </c>
      <c r="D23">
        <v>90</v>
      </c>
      <c r="G23" t="str">
        <f t="shared" si="0"/>
        <v/>
      </c>
    </row>
    <row r="24" spans="1:7" x14ac:dyDescent="0.4">
      <c r="A24">
        <v>10010014</v>
      </c>
      <c r="B24" t="s">
        <v>45</v>
      </c>
      <c r="C24" t="s">
        <v>46</v>
      </c>
      <c r="D24">
        <v>86</v>
      </c>
      <c r="G24" t="str">
        <f t="shared" si="0"/>
        <v/>
      </c>
    </row>
    <row r="25" spans="1:7" x14ac:dyDescent="0.4">
      <c r="A25">
        <v>10010015</v>
      </c>
      <c r="B25" t="s">
        <v>47</v>
      </c>
      <c r="C25" t="s">
        <v>37</v>
      </c>
      <c r="D25">
        <v>90</v>
      </c>
      <c r="G25" t="str">
        <f t="shared" si="0"/>
        <v/>
      </c>
    </row>
    <row r="26" spans="1:7" x14ac:dyDescent="0.4">
      <c r="A26">
        <v>10010016</v>
      </c>
      <c r="B26" t="s">
        <v>48</v>
      </c>
      <c r="C26" t="s">
        <v>46</v>
      </c>
      <c r="D26">
        <v>90</v>
      </c>
      <c r="G26" t="str">
        <f t="shared" si="0"/>
        <v/>
      </c>
    </row>
    <row r="27" spans="1:7" x14ac:dyDescent="0.4">
      <c r="A27">
        <v>10010017</v>
      </c>
      <c r="B27" t="s">
        <v>49</v>
      </c>
      <c r="C27" t="s">
        <v>50</v>
      </c>
      <c r="D27">
        <v>90</v>
      </c>
      <c r="G27" t="str">
        <f t="shared" si="0"/>
        <v/>
      </c>
    </row>
    <row r="28" spans="1:7" x14ac:dyDescent="0.4">
      <c r="A28">
        <v>10010018</v>
      </c>
      <c r="B28" t="s">
        <v>51</v>
      </c>
      <c r="C28" t="s">
        <v>25</v>
      </c>
      <c r="D28">
        <v>90</v>
      </c>
      <c r="G28" t="str">
        <f t="shared" si="0"/>
        <v/>
      </c>
    </row>
    <row r="29" spans="1:7" x14ac:dyDescent="0.4">
      <c r="A29">
        <v>10010019</v>
      </c>
      <c r="B29" t="s">
        <v>52</v>
      </c>
      <c r="C29" t="s">
        <v>53</v>
      </c>
      <c r="D29">
        <v>81</v>
      </c>
      <c r="G29" t="str">
        <f t="shared" si="0"/>
        <v/>
      </c>
    </row>
    <row r="30" spans="1:7" x14ac:dyDescent="0.4">
      <c r="A30">
        <v>10010020</v>
      </c>
      <c r="B30" t="s">
        <v>54</v>
      </c>
      <c r="C30" t="s">
        <v>46</v>
      </c>
      <c r="D30">
        <v>90</v>
      </c>
      <c r="G30" t="str">
        <f t="shared" si="0"/>
        <v/>
      </c>
    </row>
    <row r="31" spans="1:7" x14ac:dyDescent="0.4">
      <c r="A31">
        <v>10010021</v>
      </c>
      <c r="B31" t="s">
        <v>55</v>
      </c>
      <c r="C31" t="s">
        <v>56</v>
      </c>
      <c r="D31">
        <v>90</v>
      </c>
      <c r="G31" t="str">
        <f t="shared" si="0"/>
        <v/>
      </c>
    </row>
    <row r="32" spans="1:7" x14ac:dyDescent="0.4">
      <c r="A32">
        <v>10010022</v>
      </c>
      <c r="B32" t="s">
        <v>57</v>
      </c>
      <c r="C32" t="s">
        <v>25</v>
      </c>
      <c r="D32">
        <v>90</v>
      </c>
      <c r="G32" t="str">
        <f t="shared" si="0"/>
        <v/>
      </c>
    </row>
    <row r="33" spans="1:7" x14ac:dyDescent="0.4">
      <c r="A33">
        <v>10010023</v>
      </c>
      <c r="B33" t="s">
        <v>58</v>
      </c>
      <c r="C33" t="s">
        <v>59</v>
      </c>
      <c r="D33">
        <v>90</v>
      </c>
      <c r="G33" t="str">
        <f t="shared" si="0"/>
        <v/>
      </c>
    </row>
    <row r="34" spans="1:7" x14ac:dyDescent="0.4">
      <c r="A34">
        <v>10010024</v>
      </c>
      <c r="B34" t="s">
        <v>60</v>
      </c>
      <c r="C34" t="s">
        <v>43</v>
      </c>
      <c r="D34">
        <v>90</v>
      </c>
      <c r="G34" t="str">
        <f t="shared" si="0"/>
        <v/>
      </c>
    </row>
    <row r="35" spans="1:7" x14ac:dyDescent="0.4">
      <c r="A35">
        <v>10010025</v>
      </c>
      <c r="B35" t="s">
        <v>61</v>
      </c>
      <c r="C35" t="s">
        <v>62</v>
      </c>
      <c r="D35">
        <v>75</v>
      </c>
      <c r="G35" t="str">
        <f t="shared" si="0"/>
        <v/>
      </c>
    </row>
    <row r="36" spans="1:7" x14ac:dyDescent="0.4">
      <c r="A36">
        <v>10010026</v>
      </c>
      <c r="B36" t="s">
        <v>63</v>
      </c>
      <c r="C36" t="s">
        <v>64</v>
      </c>
      <c r="D36">
        <v>90</v>
      </c>
      <c r="G36" t="str">
        <f t="shared" si="0"/>
        <v/>
      </c>
    </row>
    <row r="37" spans="1:7" x14ac:dyDescent="0.4">
      <c r="A37">
        <v>10010027</v>
      </c>
      <c r="B37" t="s">
        <v>65</v>
      </c>
      <c r="C37" t="s">
        <v>50</v>
      </c>
      <c r="D37">
        <v>90</v>
      </c>
      <c r="G37" t="str">
        <f t="shared" si="0"/>
        <v/>
      </c>
    </row>
    <row r="38" spans="1:7" x14ac:dyDescent="0.4">
      <c r="A38">
        <v>10010028</v>
      </c>
      <c r="B38" t="s">
        <v>66</v>
      </c>
      <c r="C38" t="s">
        <v>25</v>
      </c>
      <c r="D38">
        <v>72</v>
      </c>
      <c r="G38" t="str">
        <f t="shared" si="0"/>
        <v/>
      </c>
    </row>
    <row r="39" spans="1:7" x14ac:dyDescent="0.4">
      <c r="A39">
        <v>10010029</v>
      </c>
      <c r="B39" t="s">
        <v>67</v>
      </c>
      <c r="C39" t="s">
        <v>62</v>
      </c>
      <c r="D39">
        <v>90</v>
      </c>
      <c r="G39" t="str">
        <f t="shared" si="0"/>
        <v/>
      </c>
    </row>
    <row r="40" spans="1:7" x14ac:dyDescent="0.4">
      <c r="A40">
        <v>10010030</v>
      </c>
      <c r="B40" t="s">
        <v>68</v>
      </c>
      <c r="C40" t="s">
        <v>69</v>
      </c>
      <c r="D40">
        <v>90</v>
      </c>
      <c r="G40" t="str">
        <f t="shared" si="0"/>
        <v/>
      </c>
    </row>
  </sheetData>
  <phoneticPr fontId="1"/>
  <dataValidations count="1">
    <dataValidation type="list" allowBlank="1" showInputMessage="1" showErrorMessage="1" sqref="E5" xr:uid="{2ECA4506-A5D8-427F-9D54-F521B9C5B5D6}">
      <formula1>"本試のみ,内分点,合格点,最大値"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1]!ApplyFinalScoreFormulasUI">
                <anchor>
                  <from>
                    <xdr:col>0</xdr:col>
                    <xdr:colOff>57150</xdr:colOff>
                    <xdr:row>1</xdr:row>
                    <xdr:rowOff>47625</xdr:rowOff>
                  </from>
                  <to>
                    <xdr:col>2</xdr:col>
                    <xdr:colOff>171450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1]!AddRetestRoundUI">
                <anchor>
                  <from>
                    <xdr:col>2</xdr:col>
                    <xdr:colOff>304800</xdr:colOff>
                    <xdr:row>1</xdr:row>
                    <xdr:rowOff>47625</xdr:rowOff>
                  </from>
                  <to>
                    <xdr:col>4</xdr:col>
                    <xdr:colOff>419100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1]!CompleteRetestUI">
                <anchor>
                  <from>
                    <xdr:col>4</xdr:col>
                    <xdr:colOff>581025</xdr:colOff>
                    <xdr:row>1</xdr:row>
                    <xdr:rowOff>47625</xdr:rowOff>
                  </from>
                  <to>
                    <xdr:col>7</xdr:col>
                    <xdr:colOff>9525</xdr:colOff>
                    <xdr:row>1</xdr:row>
                    <xdr:rowOff>619125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6A8DCB-9DA9-415D-B64A-0010CBE25CEA}">
  <sheetPr codeName="sh_rt_template"/>
  <dimension ref="A1:G40"/>
  <sheetViews>
    <sheetView workbookViewId="0">
      <selection activeCell="H11" sqref="H11"/>
    </sheetView>
  </sheetViews>
  <sheetFormatPr defaultRowHeight="18.75" x14ac:dyDescent="0.4"/>
  <cols>
    <col min="1" max="1" width="11.875" customWidth="1"/>
    <col min="7" max="7" width="10.375" customWidth="1"/>
  </cols>
  <sheetData>
    <row r="1" spans="1:7" ht="33" x14ac:dyDescent="0.4">
      <c r="A1" s="1" t="s">
        <v>0</v>
      </c>
    </row>
    <row r="2" spans="1:7" ht="57" customHeight="1" x14ac:dyDescent="0.4"/>
    <row r="3" spans="1:7" x14ac:dyDescent="0.4">
      <c r="A3" t="s">
        <v>1</v>
      </c>
      <c r="B3" t="s">
        <v>102</v>
      </c>
      <c r="D3" t="s">
        <v>11</v>
      </c>
      <c r="E3">
        <v>100</v>
      </c>
      <c r="G3" t="s">
        <v>93</v>
      </c>
    </row>
    <row r="4" spans="1:7" x14ac:dyDescent="0.4">
      <c r="A4" t="s">
        <v>4</v>
      </c>
      <c r="B4" t="s">
        <v>19</v>
      </c>
      <c r="D4" t="s">
        <v>94</v>
      </c>
      <c r="G4" t="s">
        <v>95</v>
      </c>
    </row>
    <row r="5" spans="1:7" x14ac:dyDescent="0.4">
      <c r="A5" t="s">
        <v>6</v>
      </c>
      <c r="B5" t="s">
        <v>103</v>
      </c>
      <c r="D5" t="s">
        <v>2</v>
      </c>
      <c r="E5" t="s">
        <v>96</v>
      </c>
    </row>
    <row r="6" spans="1:7" x14ac:dyDescent="0.4">
      <c r="A6" t="s">
        <v>9</v>
      </c>
      <c r="B6" t="s">
        <v>74</v>
      </c>
      <c r="D6" t="str">
        <f>IF(E5="内分点","内分比","")</f>
        <v/>
      </c>
    </row>
    <row r="7" spans="1:7" x14ac:dyDescent="0.4">
      <c r="A7" t="s">
        <v>10</v>
      </c>
      <c r="D7" t="s">
        <v>7</v>
      </c>
      <c r="E7" t="s">
        <v>8</v>
      </c>
    </row>
    <row r="10" spans="1:7" s="2" customFormat="1" x14ac:dyDescent="0.4">
      <c r="A10" s="2" t="s">
        <v>12</v>
      </c>
      <c r="B10" s="2" t="s">
        <v>13</v>
      </c>
      <c r="C10" s="2" t="s">
        <v>14</v>
      </c>
      <c r="D10" s="2" t="s">
        <v>15</v>
      </c>
      <c r="E10" s="2" t="s">
        <v>16</v>
      </c>
      <c r="F10" s="2" t="s">
        <v>17</v>
      </c>
      <c r="G10" s="2" t="s">
        <v>97</v>
      </c>
    </row>
    <row r="11" spans="1:7" x14ac:dyDescent="0.4">
      <c r="A11">
        <v>10010001</v>
      </c>
      <c r="B11" t="s">
        <v>22</v>
      </c>
      <c r="C11" t="s">
        <v>23</v>
      </c>
      <c r="D11">
        <v>99</v>
      </c>
      <c r="G11" t="str">
        <f>IF($E$4="","",IF(F11&gt;=$E$4,"合格",""))</f>
        <v/>
      </c>
    </row>
    <row r="12" spans="1:7" x14ac:dyDescent="0.4">
      <c r="A12">
        <v>10010002</v>
      </c>
      <c r="B12" t="s">
        <v>24</v>
      </c>
      <c r="C12" t="s">
        <v>25</v>
      </c>
      <c r="D12">
        <v>98</v>
      </c>
      <c r="G12" t="str">
        <f t="shared" ref="G12:G40" si="0">IF($E$4="","",IF(F12&gt;=$E$4,"合格",""))</f>
        <v/>
      </c>
    </row>
    <row r="13" spans="1:7" x14ac:dyDescent="0.4">
      <c r="A13">
        <v>10010003</v>
      </c>
      <c r="B13" t="s">
        <v>26</v>
      </c>
      <c r="C13" t="s">
        <v>27</v>
      </c>
      <c r="D13">
        <v>97</v>
      </c>
      <c r="G13" t="str">
        <f t="shared" si="0"/>
        <v/>
      </c>
    </row>
    <row r="14" spans="1:7" x14ac:dyDescent="0.4">
      <c r="A14">
        <v>10010004</v>
      </c>
      <c r="B14" t="s">
        <v>28</v>
      </c>
      <c r="C14" t="s">
        <v>29</v>
      </c>
      <c r="D14">
        <v>96</v>
      </c>
      <c r="G14" t="str">
        <f t="shared" si="0"/>
        <v/>
      </c>
    </row>
    <row r="15" spans="1:7" x14ac:dyDescent="0.4">
      <c r="A15">
        <v>10010005</v>
      </c>
      <c r="B15" t="s">
        <v>30</v>
      </c>
      <c r="C15" t="s">
        <v>27</v>
      </c>
      <c r="D15">
        <v>95</v>
      </c>
      <c r="G15" t="str">
        <f t="shared" si="0"/>
        <v/>
      </c>
    </row>
    <row r="16" spans="1:7" x14ac:dyDescent="0.4">
      <c r="A16">
        <v>10010006</v>
      </c>
      <c r="B16" t="s">
        <v>31</v>
      </c>
      <c r="C16" t="s">
        <v>25</v>
      </c>
      <c r="D16">
        <v>94</v>
      </c>
      <c r="G16" t="str">
        <f t="shared" si="0"/>
        <v/>
      </c>
    </row>
    <row r="17" spans="1:7" x14ac:dyDescent="0.4">
      <c r="A17">
        <v>10010007</v>
      </c>
      <c r="B17" t="s">
        <v>32</v>
      </c>
      <c r="C17" t="s">
        <v>33</v>
      </c>
      <c r="D17">
        <v>93</v>
      </c>
      <c r="G17" t="str">
        <f t="shared" si="0"/>
        <v/>
      </c>
    </row>
    <row r="18" spans="1:7" x14ac:dyDescent="0.4">
      <c r="A18">
        <v>10010008</v>
      </c>
      <c r="B18" t="s">
        <v>34</v>
      </c>
      <c r="C18" t="s">
        <v>35</v>
      </c>
      <c r="D18">
        <v>92</v>
      </c>
      <c r="G18" t="str">
        <f t="shared" si="0"/>
        <v/>
      </c>
    </row>
    <row r="19" spans="1:7" x14ac:dyDescent="0.4">
      <c r="A19">
        <v>10010009</v>
      </c>
      <c r="B19" t="s">
        <v>36</v>
      </c>
      <c r="C19" t="s">
        <v>37</v>
      </c>
      <c r="D19">
        <v>91</v>
      </c>
      <c r="G19" t="str">
        <f t="shared" si="0"/>
        <v/>
      </c>
    </row>
    <row r="20" spans="1:7" x14ac:dyDescent="0.4">
      <c r="A20">
        <v>10010010</v>
      </c>
      <c r="B20" t="s">
        <v>38</v>
      </c>
      <c r="C20" t="s">
        <v>39</v>
      </c>
      <c r="D20">
        <v>90</v>
      </c>
      <c r="G20" t="str">
        <f t="shared" si="0"/>
        <v/>
      </c>
    </row>
    <row r="21" spans="1:7" x14ac:dyDescent="0.4">
      <c r="A21">
        <v>10010011</v>
      </c>
      <c r="B21" t="s">
        <v>40</v>
      </c>
      <c r="C21" t="s">
        <v>41</v>
      </c>
      <c r="D21">
        <v>89</v>
      </c>
      <c r="G21" t="str">
        <f t="shared" si="0"/>
        <v/>
      </c>
    </row>
    <row r="22" spans="1:7" x14ac:dyDescent="0.4">
      <c r="A22">
        <v>10010012</v>
      </c>
      <c r="B22" t="s">
        <v>42</v>
      </c>
      <c r="C22" t="s">
        <v>43</v>
      </c>
      <c r="D22">
        <v>90</v>
      </c>
      <c r="G22" t="str">
        <f t="shared" si="0"/>
        <v/>
      </c>
    </row>
    <row r="23" spans="1:7" x14ac:dyDescent="0.4">
      <c r="A23">
        <v>10010013</v>
      </c>
      <c r="B23" t="s">
        <v>44</v>
      </c>
      <c r="C23" t="s">
        <v>37</v>
      </c>
      <c r="D23">
        <v>90</v>
      </c>
      <c r="G23" t="str">
        <f t="shared" si="0"/>
        <v/>
      </c>
    </row>
    <row r="24" spans="1:7" x14ac:dyDescent="0.4">
      <c r="A24">
        <v>10010014</v>
      </c>
      <c r="B24" t="s">
        <v>45</v>
      </c>
      <c r="C24" t="s">
        <v>46</v>
      </c>
      <c r="D24">
        <v>86</v>
      </c>
      <c r="G24" t="str">
        <f t="shared" si="0"/>
        <v/>
      </c>
    </row>
    <row r="25" spans="1:7" x14ac:dyDescent="0.4">
      <c r="A25">
        <v>10010015</v>
      </c>
      <c r="B25" t="s">
        <v>47</v>
      </c>
      <c r="C25" t="s">
        <v>37</v>
      </c>
      <c r="D25">
        <v>90</v>
      </c>
      <c r="G25" t="str">
        <f t="shared" si="0"/>
        <v/>
      </c>
    </row>
    <row r="26" spans="1:7" x14ac:dyDescent="0.4">
      <c r="A26">
        <v>10010016</v>
      </c>
      <c r="B26" t="s">
        <v>48</v>
      </c>
      <c r="C26" t="s">
        <v>46</v>
      </c>
      <c r="D26">
        <v>90</v>
      </c>
      <c r="G26" t="str">
        <f t="shared" si="0"/>
        <v/>
      </c>
    </row>
    <row r="27" spans="1:7" x14ac:dyDescent="0.4">
      <c r="A27">
        <v>10010017</v>
      </c>
      <c r="B27" t="s">
        <v>49</v>
      </c>
      <c r="C27" t="s">
        <v>50</v>
      </c>
      <c r="D27">
        <v>90</v>
      </c>
      <c r="G27" t="str">
        <f t="shared" si="0"/>
        <v/>
      </c>
    </row>
    <row r="28" spans="1:7" x14ac:dyDescent="0.4">
      <c r="A28">
        <v>10010018</v>
      </c>
      <c r="B28" t="s">
        <v>51</v>
      </c>
      <c r="C28" t="s">
        <v>25</v>
      </c>
      <c r="D28">
        <v>90</v>
      </c>
      <c r="G28" t="str">
        <f t="shared" si="0"/>
        <v/>
      </c>
    </row>
    <row r="29" spans="1:7" x14ac:dyDescent="0.4">
      <c r="A29">
        <v>10010019</v>
      </c>
      <c r="B29" t="s">
        <v>52</v>
      </c>
      <c r="C29" t="s">
        <v>53</v>
      </c>
      <c r="D29">
        <v>81</v>
      </c>
      <c r="G29" t="str">
        <f t="shared" si="0"/>
        <v/>
      </c>
    </row>
    <row r="30" spans="1:7" x14ac:dyDescent="0.4">
      <c r="A30">
        <v>10010020</v>
      </c>
      <c r="B30" t="s">
        <v>54</v>
      </c>
      <c r="C30" t="s">
        <v>46</v>
      </c>
      <c r="D30">
        <v>90</v>
      </c>
      <c r="G30" t="str">
        <f t="shared" si="0"/>
        <v/>
      </c>
    </row>
    <row r="31" spans="1:7" x14ac:dyDescent="0.4">
      <c r="A31">
        <v>10010021</v>
      </c>
      <c r="B31" t="s">
        <v>55</v>
      </c>
      <c r="C31" t="s">
        <v>56</v>
      </c>
      <c r="D31">
        <v>90</v>
      </c>
      <c r="G31" t="str">
        <f t="shared" si="0"/>
        <v/>
      </c>
    </row>
    <row r="32" spans="1:7" x14ac:dyDescent="0.4">
      <c r="A32">
        <v>10010022</v>
      </c>
      <c r="B32" t="s">
        <v>57</v>
      </c>
      <c r="C32" t="s">
        <v>25</v>
      </c>
      <c r="D32">
        <v>90</v>
      </c>
      <c r="G32" t="str">
        <f t="shared" si="0"/>
        <v/>
      </c>
    </row>
    <row r="33" spans="1:7" x14ac:dyDescent="0.4">
      <c r="A33">
        <v>10010023</v>
      </c>
      <c r="B33" t="s">
        <v>58</v>
      </c>
      <c r="C33" t="s">
        <v>59</v>
      </c>
      <c r="D33">
        <v>90</v>
      </c>
      <c r="G33" t="str">
        <f t="shared" si="0"/>
        <v/>
      </c>
    </row>
    <row r="34" spans="1:7" x14ac:dyDescent="0.4">
      <c r="A34">
        <v>10010024</v>
      </c>
      <c r="B34" t="s">
        <v>60</v>
      </c>
      <c r="C34" t="s">
        <v>43</v>
      </c>
      <c r="D34">
        <v>90</v>
      </c>
      <c r="G34" t="str">
        <f t="shared" si="0"/>
        <v/>
      </c>
    </row>
    <row r="35" spans="1:7" x14ac:dyDescent="0.4">
      <c r="A35">
        <v>10010025</v>
      </c>
      <c r="B35" t="s">
        <v>61</v>
      </c>
      <c r="C35" t="s">
        <v>62</v>
      </c>
      <c r="D35">
        <v>75</v>
      </c>
      <c r="G35" t="str">
        <f t="shared" si="0"/>
        <v/>
      </c>
    </row>
    <row r="36" spans="1:7" x14ac:dyDescent="0.4">
      <c r="A36">
        <v>10010026</v>
      </c>
      <c r="B36" t="s">
        <v>63</v>
      </c>
      <c r="C36" t="s">
        <v>64</v>
      </c>
      <c r="D36">
        <v>90</v>
      </c>
      <c r="G36" t="str">
        <f t="shared" si="0"/>
        <v/>
      </c>
    </row>
    <row r="37" spans="1:7" x14ac:dyDescent="0.4">
      <c r="A37">
        <v>10010027</v>
      </c>
      <c r="B37" t="s">
        <v>65</v>
      </c>
      <c r="C37" t="s">
        <v>50</v>
      </c>
      <c r="D37">
        <v>90</v>
      </c>
      <c r="G37" t="str">
        <f t="shared" si="0"/>
        <v/>
      </c>
    </row>
    <row r="38" spans="1:7" x14ac:dyDescent="0.4">
      <c r="A38">
        <v>10010028</v>
      </c>
      <c r="B38" t="s">
        <v>66</v>
      </c>
      <c r="C38" t="s">
        <v>25</v>
      </c>
      <c r="D38">
        <v>72</v>
      </c>
      <c r="G38" t="str">
        <f t="shared" si="0"/>
        <v/>
      </c>
    </row>
    <row r="39" spans="1:7" x14ac:dyDescent="0.4">
      <c r="A39">
        <v>10010029</v>
      </c>
      <c r="B39" t="s">
        <v>67</v>
      </c>
      <c r="C39" t="s">
        <v>62</v>
      </c>
      <c r="D39">
        <v>90</v>
      </c>
      <c r="G39" t="str">
        <f t="shared" si="0"/>
        <v/>
      </c>
    </row>
    <row r="40" spans="1:7" x14ac:dyDescent="0.4">
      <c r="A40">
        <v>10010030</v>
      </c>
      <c r="B40" t="s">
        <v>68</v>
      </c>
      <c r="C40" t="s">
        <v>69</v>
      </c>
      <c r="D40">
        <v>90</v>
      </c>
      <c r="G40" t="str">
        <f t="shared" si="0"/>
        <v/>
      </c>
    </row>
  </sheetData>
  <phoneticPr fontId="1"/>
  <dataValidations count="1">
    <dataValidation type="list" allowBlank="1" showInputMessage="1" showErrorMessage="1" sqref="E5" xr:uid="{46B5DBD5-BB56-404F-8E50-107227EB0864}">
      <formula1>"本試のみ,内分点,合格点,最大値"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1]!ApplyFinalScoreFormulasUI">
                <anchor>
                  <from>
                    <xdr:col>0</xdr:col>
                    <xdr:colOff>57150</xdr:colOff>
                    <xdr:row>1</xdr:row>
                    <xdr:rowOff>47625</xdr:rowOff>
                  </from>
                  <to>
                    <xdr:col>2</xdr:col>
                    <xdr:colOff>171450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1]!AddRetestRoundUI">
                <anchor>
                  <from>
                    <xdr:col>2</xdr:col>
                    <xdr:colOff>304800</xdr:colOff>
                    <xdr:row>1</xdr:row>
                    <xdr:rowOff>47625</xdr:rowOff>
                  </from>
                  <to>
                    <xdr:col>4</xdr:col>
                    <xdr:colOff>419100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1]!CompleteRetestUI">
                <anchor>
                  <from>
                    <xdr:col>4</xdr:col>
                    <xdr:colOff>581025</xdr:colOff>
                    <xdr:row>1</xdr:row>
                    <xdr:rowOff>47625</xdr:rowOff>
                  </from>
                  <to>
                    <xdr:col>7</xdr:col>
                    <xdr:colOff>9525</xdr:colOff>
                    <xdr:row>1</xdr:row>
                    <xdr:rowOff>619125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9C8347-0D78-46DA-8910-C944B9E141F1}">
  <sheetPr codeName="sh_rt_template"/>
  <dimension ref="A1:G40"/>
  <sheetViews>
    <sheetView tabSelected="1" workbookViewId="0">
      <selection activeCell="A3" sqref="A3"/>
    </sheetView>
  </sheetViews>
  <sheetFormatPr defaultRowHeight="18.75" x14ac:dyDescent="0.4"/>
  <cols>
    <col min="1" max="1" width="11.875" customWidth="1"/>
    <col min="7" max="7" width="10.375" customWidth="1"/>
  </cols>
  <sheetData>
    <row r="1" spans="1:7" ht="33" x14ac:dyDescent="0.4">
      <c r="A1" s="1" t="s">
        <v>0</v>
      </c>
    </row>
    <row r="2" spans="1:7" ht="57" customHeight="1" x14ac:dyDescent="0.4"/>
    <row r="3" spans="1:7" x14ac:dyDescent="0.4">
      <c r="A3" t="s">
        <v>1</v>
      </c>
      <c r="B3" t="s">
        <v>107</v>
      </c>
      <c r="D3" t="s">
        <v>11</v>
      </c>
      <c r="E3">
        <v>100</v>
      </c>
      <c r="G3" t="s">
        <v>93</v>
      </c>
    </row>
    <row r="4" spans="1:7" x14ac:dyDescent="0.4">
      <c r="A4" t="s">
        <v>4</v>
      </c>
      <c r="B4" t="s">
        <v>82</v>
      </c>
      <c r="D4" t="s">
        <v>94</v>
      </c>
      <c r="G4" t="s">
        <v>95</v>
      </c>
    </row>
    <row r="5" spans="1:7" x14ac:dyDescent="0.4">
      <c r="A5" t="s">
        <v>6</v>
      </c>
      <c r="B5" t="s">
        <v>108</v>
      </c>
      <c r="D5" t="s">
        <v>2</v>
      </c>
    </row>
    <row r="6" spans="1:7" x14ac:dyDescent="0.4">
      <c r="A6" t="s">
        <v>9</v>
      </c>
      <c r="B6" t="s">
        <v>21</v>
      </c>
      <c r="D6" t="str">
        <f>IF(E5="内分点","内分比","")</f>
        <v/>
      </c>
    </row>
    <row r="7" spans="1:7" x14ac:dyDescent="0.4">
      <c r="A7" t="s">
        <v>10</v>
      </c>
      <c r="D7" t="s">
        <v>7</v>
      </c>
      <c r="E7" t="s">
        <v>8</v>
      </c>
    </row>
    <row r="10" spans="1:7" s="2" customFormat="1" x14ac:dyDescent="0.4">
      <c r="A10" s="2" t="s">
        <v>12</v>
      </c>
      <c r="B10" s="2" t="s">
        <v>13</v>
      </c>
      <c r="C10" s="2" t="s">
        <v>14</v>
      </c>
      <c r="D10" s="2" t="s">
        <v>15</v>
      </c>
      <c r="E10" s="2" t="s">
        <v>16</v>
      </c>
      <c r="F10" s="2" t="s">
        <v>17</v>
      </c>
      <c r="G10" s="2" t="s">
        <v>97</v>
      </c>
    </row>
    <row r="11" spans="1:7" x14ac:dyDescent="0.4">
      <c r="A11">
        <v>10010001</v>
      </c>
      <c r="B11" t="s">
        <v>22</v>
      </c>
      <c r="C11" t="s">
        <v>23</v>
      </c>
      <c r="D11">
        <v>99</v>
      </c>
      <c r="G11" t="str">
        <f>IF($E$4="","",IF(F11&gt;=$E$4,"合格",""))</f>
        <v/>
      </c>
    </row>
    <row r="12" spans="1:7" x14ac:dyDescent="0.4">
      <c r="A12">
        <v>10010002</v>
      </c>
      <c r="B12" t="s">
        <v>24</v>
      </c>
      <c r="C12" t="s">
        <v>25</v>
      </c>
      <c r="D12">
        <v>98</v>
      </c>
      <c r="G12" t="str">
        <f t="shared" ref="G12:G40" si="0">IF($E$4="","",IF(F12&gt;=$E$4,"合格",""))</f>
        <v/>
      </c>
    </row>
    <row r="13" spans="1:7" x14ac:dyDescent="0.4">
      <c r="A13">
        <v>10010003</v>
      </c>
      <c r="B13" t="s">
        <v>26</v>
      </c>
      <c r="C13" t="s">
        <v>27</v>
      </c>
      <c r="D13">
        <v>97</v>
      </c>
      <c r="G13" t="str">
        <f t="shared" si="0"/>
        <v/>
      </c>
    </row>
    <row r="14" spans="1:7" x14ac:dyDescent="0.4">
      <c r="A14">
        <v>10010004</v>
      </c>
      <c r="B14" t="s">
        <v>28</v>
      </c>
      <c r="C14" t="s">
        <v>29</v>
      </c>
      <c r="D14">
        <v>96</v>
      </c>
      <c r="G14" t="str">
        <f t="shared" si="0"/>
        <v/>
      </c>
    </row>
    <row r="15" spans="1:7" x14ac:dyDescent="0.4">
      <c r="A15">
        <v>10010005</v>
      </c>
      <c r="B15" t="s">
        <v>30</v>
      </c>
      <c r="C15" t="s">
        <v>27</v>
      </c>
      <c r="D15">
        <v>95</v>
      </c>
      <c r="G15" t="str">
        <f t="shared" si="0"/>
        <v/>
      </c>
    </row>
    <row r="16" spans="1:7" x14ac:dyDescent="0.4">
      <c r="A16">
        <v>10010006</v>
      </c>
      <c r="B16" t="s">
        <v>31</v>
      </c>
      <c r="C16" t="s">
        <v>25</v>
      </c>
      <c r="D16">
        <v>94</v>
      </c>
      <c r="G16" t="str">
        <f t="shared" si="0"/>
        <v/>
      </c>
    </row>
    <row r="17" spans="1:7" x14ac:dyDescent="0.4">
      <c r="A17">
        <v>10010007</v>
      </c>
      <c r="B17" t="s">
        <v>32</v>
      </c>
      <c r="C17" t="s">
        <v>33</v>
      </c>
      <c r="D17">
        <v>93</v>
      </c>
      <c r="G17" t="str">
        <f t="shared" si="0"/>
        <v/>
      </c>
    </row>
    <row r="18" spans="1:7" x14ac:dyDescent="0.4">
      <c r="A18">
        <v>10010008</v>
      </c>
      <c r="B18" t="s">
        <v>34</v>
      </c>
      <c r="C18" t="s">
        <v>35</v>
      </c>
      <c r="D18">
        <v>92</v>
      </c>
      <c r="G18" t="str">
        <f t="shared" si="0"/>
        <v/>
      </c>
    </row>
    <row r="19" spans="1:7" x14ac:dyDescent="0.4">
      <c r="A19">
        <v>10010009</v>
      </c>
      <c r="B19" t="s">
        <v>36</v>
      </c>
      <c r="C19" t="s">
        <v>37</v>
      </c>
      <c r="D19">
        <v>91</v>
      </c>
      <c r="G19" t="str">
        <f t="shared" si="0"/>
        <v/>
      </c>
    </row>
    <row r="20" spans="1:7" x14ac:dyDescent="0.4">
      <c r="A20">
        <v>10010010</v>
      </c>
      <c r="B20" t="s">
        <v>38</v>
      </c>
      <c r="C20" t="s">
        <v>39</v>
      </c>
      <c r="D20">
        <v>90</v>
      </c>
      <c r="G20" t="str">
        <f t="shared" si="0"/>
        <v/>
      </c>
    </row>
    <row r="21" spans="1:7" x14ac:dyDescent="0.4">
      <c r="A21">
        <v>10010011</v>
      </c>
      <c r="B21" t="s">
        <v>40</v>
      </c>
      <c r="C21" t="s">
        <v>41</v>
      </c>
      <c r="D21">
        <v>89</v>
      </c>
      <c r="G21" t="str">
        <f t="shared" si="0"/>
        <v/>
      </c>
    </row>
    <row r="22" spans="1:7" x14ac:dyDescent="0.4">
      <c r="A22">
        <v>10010012</v>
      </c>
      <c r="B22" t="s">
        <v>42</v>
      </c>
      <c r="C22" t="s">
        <v>43</v>
      </c>
      <c r="D22">
        <v>88</v>
      </c>
      <c r="G22" t="str">
        <f t="shared" si="0"/>
        <v/>
      </c>
    </row>
    <row r="23" spans="1:7" x14ac:dyDescent="0.4">
      <c r="A23">
        <v>10010013</v>
      </c>
      <c r="B23" t="s">
        <v>44</v>
      </c>
      <c r="C23" t="s">
        <v>37</v>
      </c>
      <c r="D23">
        <v>87</v>
      </c>
      <c r="G23" t="str">
        <f t="shared" si="0"/>
        <v/>
      </c>
    </row>
    <row r="24" spans="1:7" x14ac:dyDescent="0.4">
      <c r="A24">
        <v>10010014</v>
      </c>
      <c r="B24" t="s">
        <v>45</v>
      </c>
      <c r="C24" t="s">
        <v>46</v>
      </c>
      <c r="D24">
        <v>86</v>
      </c>
      <c r="G24" t="str">
        <f t="shared" si="0"/>
        <v/>
      </c>
    </row>
    <row r="25" spans="1:7" x14ac:dyDescent="0.4">
      <c r="A25">
        <v>10010015</v>
      </c>
      <c r="B25" t="s">
        <v>47</v>
      </c>
      <c r="C25" t="s">
        <v>37</v>
      </c>
      <c r="D25">
        <v>85</v>
      </c>
      <c r="G25" t="str">
        <f t="shared" si="0"/>
        <v/>
      </c>
    </row>
    <row r="26" spans="1:7" x14ac:dyDescent="0.4">
      <c r="A26">
        <v>10010016</v>
      </c>
      <c r="B26" t="s">
        <v>48</v>
      </c>
      <c r="C26" t="s">
        <v>46</v>
      </c>
      <c r="D26">
        <v>84</v>
      </c>
      <c r="G26" t="str">
        <f t="shared" si="0"/>
        <v/>
      </c>
    </row>
    <row r="27" spans="1:7" x14ac:dyDescent="0.4">
      <c r="A27">
        <v>10010017</v>
      </c>
      <c r="B27" t="s">
        <v>49</v>
      </c>
      <c r="C27" t="s">
        <v>50</v>
      </c>
      <c r="D27">
        <v>83</v>
      </c>
      <c r="G27" t="str">
        <f t="shared" si="0"/>
        <v/>
      </c>
    </row>
    <row r="28" spans="1:7" x14ac:dyDescent="0.4">
      <c r="A28">
        <v>10010018</v>
      </c>
      <c r="B28" t="s">
        <v>51</v>
      </c>
      <c r="C28" t="s">
        <v>25</v>
      </c>
      <c r="D28">
        <v>82</v>
      </c>
      <c r="G28" t="str">
        <f t="shared" si="0"/>
        <v/>
      </c>
    </row>
    <row r="29" spans="1:7" x14ac:dyDescent="0.4">
      <c r="A29">
        <v>10010019</v>
      </c>
      <c r="B29" t="s">
        <v>52</v>
      </c>
      <c r="C29" t="s">
        <v>53</v>
      </c>
      <c r="D29">
        <v>81</v>
      </c>
      <c r="G29" t="str">
        <f t="shared" si="0"/>
        <v/>
      </c>
    </row>
    <row r="30" spans="1:7" x14ac:dyDescent="0.4">
      <c r="A30">
        <v>10010020</v>
      </c>
      <c r="B30" t="s">
        <v>54</v>
      </c>
      <c r="C30" t="s">
        <v>46</v>
      </c>
      <c r="D30">
        <v>80</v>
      </c>
      <c r="G30" t="str">
        <f t="shared" si="0"/>
        <v/>
      </c>
    </row>
    <row r="31" spans="1:7" x14ac:dyDescent="0.4">
      <c r="A31">
        <v>10010021</v>
      </c>
      <c r="B31" t="s">
        <v>55</v>
      </c>
      <c r="C31" t="s">
        <v>56</v>
      </c>
      <c r="D31">
        <v>79</v>
      </c>
      <c r="G31" t="str">
        <f t="shared" si="0"/>
        <v/>
      </c>
    </row>
    <row r="32" spans="1:7" x14ac:dyDescent="0.4">
      <c r="A32">
        <v>10010022</v>
      </c>
      <c r="B32" t="s">
        <v>57</v>
      </c>
      <c r="C32" t="s">
        <v>25</v>
      </c>
      <c r="D32">
        <v>78</v>
      </c>
      <c r="G32" t="str">
        <f t="shared" si="0"/>
        <v/>
      </c>
    </row>
    <row r="33" spans="1:7" x14ac:dyDescent="0.4">
      <c r="A33">
        <v>10010023</v>
      </c>
      <c r="B33" t="s">
        <v>58</v>
      </c>
      <c r="C33" t="s">
        <v>59</v>
      </c>
      <c r="D33">
        <v>77</v>
      </c>
      <c r="G33" t="str">
        <f t="shared" si="0"/>
        <v/>
      </c>
    </row>
    <row r="34" spans="1:7" x14ac:dyDescent="0.4">
      <c r="A34">
        <v>10010024</v>
      </c>
      <c r="B34" t="s">
        <v>60</v>
      </c>
      <c r="C34" t="s">
        <v>43</v>
      </c>
      <c r="D34">
        <v>76</v>
      </c>
      <c r="G34" t="str">
        <f t="shared" si="0"/>
        <v/>
      </c>
    </row>
    <row r="35" spans="1:7" x14ac:dyDescent="0.4">
      <c r="A35">
        <v>10010025</v>
      </c>
      <c r="B35" t="s">
        <v>61</v>
      </c>
      <c r="C35" t="s">
        <v>62</v>
      </c>
      <c r="D35">
        <v>75</v>
      </c>
      <c r="G35" t="str">
        <f t="shared" si="0"/>
        <v/>
      </c>
    </row>
    <row r="36" spans="1:7" x14ac:dyDescent="0.4">
      <c r="A36">
        <v>10010026</v>
      </c>
      <c r="B36" t="s">
        <v>63</v>
      </c>
      <c r="C36" t="s">
        <v>64</v>
      </c>
      <c r="D36">
        <v>74</v>
      </c>
      <c r="G36" t="str">
        <f t="shared" si="0"/>
        <v/>
      </c>
    </row>
    <row r="37" spans="1:7" x14ac:dyDescent="0.4">
      <c r="A37">
        <v>10010027</v>
      </c>
      <c r="B37" t="s">
        <v>65</v>
      </c>
      <c r="C37" t="s">
        <v>50</v>
      </c>
      <c r="D37">
        <v>73</v>
      </c>
      <c r="G37" t="str">
        <f t="shared" si="0"/>
        <v/>
      </c>
    </row>
    <row r="38" spans="1:7" x14ac:dyDescent="0.4">
      <c r="A38">
        <v>10010028</v>
      </c>
      <c r="B38" t="s">
        <v>66</v>
      </c>
      <c r="C38" t="s">
        <v>25</v>
      </c>
      <c r="D38">
        <v>72</v>
      </c>
      <c r="G38" t="str">
        <f t="shared" si="0"/>
        <v/>
      </c>
    </row>
    <row r="39" spans="1:7" x14ac:dyDescent="0.4">
      <c r="A39">
        <v>10010029</v>
      </c>
      <c r="B39" t="s">
        <v>67</v>
      </c>
      <c r="C39" t="s">
        <v>62</v>
      </c>
      <c r="D39">
        <v>71</v>
      </c>
      <c r="G39" t="str">
        <f t="shared" si="0"/>
        <v/>
      </c>
    </row>
    <row r="40" spans="1:7" x14ac:dyDescent="0.4">
      <c r="A40">
        <v>10010030</v>
      </c>
      <c r="B40" t="s">
        <v>68</v>
      </c>
      <c r="C40" t="s">
        <v>69</v>
      </c>
      <c r="D40">
        <v>70</v>
      </c>
      <c r="G40" t="str">
        <f t="shared" si="0"/>
        <v/>
      </c>
    </row>
  </sheetData>
  <phoneticPr fontId="1"/>
  <dataValidations count="1">
    <dataValidation type="list" allowBlank="1" showInputMessage="1" showErrorMessage="1" sqref="E5" xr:uid="{C2148B56-9F43-45CD-A19D-0CB4B17DCE97}">
      <formula1>"本試のみ,内分点,合格点,最大値"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1]!ApplyFinalScoreFormulasUI">
                <anchor>
                  <from>
                    <xdr:col>0</xdr:col>
                    <xdr:colOff>57150</xdr:colOff>
                    <xdr:row>1</xdr:row>
                    <xdr:rowOff>47625</xdr:rowOff>
                  </from>
                  <to>
                    <xdr:col>2</xdr:col>
                    <xdr:colOff>171450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1]!AddRetestRoundUI">
                <anchor>
                  <from>
                    <xdr:col>2</xdr:col>
                    <xdr:colOff>304800</xdr:colOff>
                    <xdr:row>1</xdr:row>
                    <xdr:rowOff>47625</xdr:rowOff>
                  </from>
                  <to>
                    <xdr:col>4</xdr:col>
                    <xdr:colOff>419100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1]!CompleteRetestUI">
                <anchor>
                  <from>
                    <xdr:col>4</xdr:col>
                    <xdr:colOff>581025</xdr:colOff>
                    <xdr:row>1</xdr:row>
                    <xdr:rowOff>47625</xdr:rowOff>
                  </from>
                  <to>
                    <xdr:col>7</xdr:col>
                    <xdr:colOff>9525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1]!ApplyFinalScoreFormulasUI">
                <anchor moveWithCells="1" sizeWithCells="1">
                  <from>
                    <xdr:col>2</xdr:col>
                    <xdr:colOff>676275</xdr:colOff>
                    <xdr:row>4</xdr:row>
                    <xdr:rowOff>0</xdr:rowOff>
                  </from>
                  <to>
                    <xdr:col>3</xdr:col>
                    <xdr:colOff>676275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MENU</vt:lpstr>
      <vt:lpstr>M004_asdfghjkl_知技</vt:lpstr>
      <vt:lpstr>M005_kjhgf_思判表</vt:lpstr>
      <vt:lpstr>M006_iuytr_知技</vt:lpstr>
      <vt:lpstr>J011_84stdh_知技</vt:lpstr>
      <vt:lpstr>J012_ahjlfg_知技</vt:lpstr>
      <vt:lpstr>R001_fs9g876dwah_思判表</vt:lpstr>
      <vt:lpstr>S005_test23_知技</vt:lpstr>
      <vt:lpstr>M007_test24_思判表</vt:lpstr>
      <vt:lpstr>M007_test24_思判表_1</vt:lpstr>
      <vt:lpstr>M007_test24_思判表_2</vt:lpstr>
      <vt:lpstr>J013_てｓｔ２４５_知技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健一郎 矢原</dc:creator>
  <cp:lastModifiedBy>健一郎 矢原</cp:lastModifiedBy>
  <dcterms:created xsi:type="dcterms:W3CDTF">2026-02-06T16:15:30Z</dcterms:created>
  <dcterms:modified xsi:type="dcterms:W3CDTF">2026-02-08T16:24:29Z</dcterms:modified>
</cp:coreProperties>
</file>