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D05FE002-C5BA-4DC3-9CBE-509A5BC290C9}" xr6:coauthVersionLast="47" xr6:coauthVersionMax="47" xr10:uidLastSave="{00000000-0000-0000-0000-000000000000}"/>
  <bookViews>
    <workbookView xWindow="-120" yWindow="-120" windowWidth="29040" windowHeight="15720" activeTab="1" xr2:uid="{36D23C2A-D5C4-4AE9-A625-34BE6562EB8B}"/>
  </bookViews>
  <sheets>
    <sheet name="MENU" sheetId="2" r:id="rId1"/>
    <sheet name="M002_test5_思判表" sheetId="3" r:id="rId2"/>
  </sheets>
  <externalReferences>
    <externalReference r:id="rId3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3" l="1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D6" i="3"/>
  <c r="F4" i="2"/>
</calcChain>
</file>

<file path=xl/sharedStrings.xml><?xml version="1.0" encoding="utf-8"?>
<sst xmlns="http://schemas.openxmlformats.org/spreadsheetml/2006/main" count="99" uniqueCount="77">
  <si>
    <t>追試管理メニュー</t>
    <rPh sb="0" eb="4">
      <t>ツイシカンリ</t>
    </rPh>
    <phoneticPr fontId="3"/>
  </si>
  <si>
    <t>対象の追試シートを開くためには、その行をダブルクリックしてください。</t>
    <rPh sb="0" eb="2">
      <t>タイショウ</t>
    </rPh>
    <rPh sb="3" eb="5">
      <t>ツイシ</t>
    </rPh>
    <rPh sb="9" eb="10">
      <t>ヒラ</t>
    </rPh>
    <rPh sb="18" eb="19">
      <t>ギョウ</t>
    </rPh>
    <phoneticPr fontId="3"/>
  </si>
  <si>
    <t>コード</t>
    <phoneticPr fontId="3"/>
  </si>
  <si>
    <t>教科</t>
    <rPh sb="0" eb="2">
      <t>キョウカ</t>
    </rPh>
    <phoneticPr fontId="3"/>
  </si>
  <si>
    <t>テスト名</t>
    <rPh sb="3" eb="4">
      <t>メイ</t>
    </rPh>
    <phoneticPr fontId="3"/>
  </si>
  <si>
    <t>観点</t>
    <rPh sb="0" eb="2">
      <t>カンテン</t>
    </rPh>
    <phoneticPr fontId="3"/>
  </si>
  <si>
    <t>状態</t>
    <rPh sb="0" eb="2">
      <t>ジョウタイ</t>
    </rPh>
    <phoneticPr fontId="3"/>
  </si>
  <si>
    <t>残り人数</t>
    <rPh sb="0" eb="1">
      <t>ノコ</t>
    </rPh>
    <rPh sb="2" eb="4">
      <t>ニンズウ</t>
    </rPh>
    <phoneticPr fontId="3"/>
  </si>
  <si>
    <t>追試管理シート</t>
    <rPh sb="0" eb="4">
      <t>ツイシカンリ</t>
    </rPh>
    <phoneticPr fontId="3"/>
  </si>
  <si>
    <t>追試元キー</t>
    <rPh sb="0" eb="3">
      <t>ツイシモト</t>
    </rPh>
    <phoneticPr fontId="3"/>
  </si>
  <si>
    <t>配点</t>
    <rPh sb="0" eb="2">
      <t>ハイテン</t>
    </rPh>
    <phoneticPr fontId="3"/>
  </si>
  <si>
    <t>合格者数</t>
    <rPh sb="0" eb="4">
      <t>ゴウカクシャスウ</t>
    </rPh>
    <phoneticPr fontId="3"/>
  </si>
  <si>
    <t>合格点</t>
    <rPh sb="0" eb="3">
      <t>ゴウカクテン</t>
    </rPh>
    <phoneticPr fontId="3"/>
  </si>
  <si>
    <t>未合格者数</t>
    <rPh sb="0" eb="4">
      <t>ミゴウカクシャ</t>
    </rPh>
    <rPh sb="4" eb="5">
      <t>スウ</t>
    </rPh>
    <phoneticPr fontId="3"/>
  </si>
  <si>
    <t>算出方法</t>
    <rPh sb="0" eb="4">
      <t>サンシュツホウホウ</t>
    </rPh>
    <phoneticPr fontId="3"/>
  </si>
  <si>
    <t>詳細</t>
    <rPh sb="0" eb="2">
      <t>ショウサイ</t>
    </rPh>
    <phoneticPr fontId="3"/>
  </si>
  <si>
    <t>追試中</t>
    <rPh sb="0" eb="3">
      <t>ツイシチュウ</t>
    </rPh>
    <phoneticPr fontId="3"/>
  </si>
  <si>
    <t>姓</t>
    <rPh sb="0" eb="1">
      <t>セイ</t>
    </rPh>
    <phoneticPr fontId="3"/>
  </si>
  <si>
    <t>名</t>
    <rPh sb="0" eb="1">
      <t>メイ</t>
    </rPh>
    <phoneticPr fontId="3"/>
  </si>
  <si>
    <t>本試</t>
    <rPh sb="0" eb="2">
      <t>ホンシ</t>
    </rPh>
    <phoneticPr fontId="3"/>
  </si>
  <si>
    <t>追試１</t>
    <rPh sb="0" eb="2">
      <t>ツイシ</t>
    </rPh>
    <phoneticPr fontId="3"/>
  </si>
  <si>
    <t>最終</t>
    <rPh sb="0" eb="2">
      <t>サイシュウ</t>
    </rPh>
    <phoneticPr fontId="3"/>
  </si>
  <si>
    <t>判定</t>
    <rPh sb="0" eb="2">
      <t>ハンテイ</t>
    </rPh>
    <phoneticPr fontId="3"/>
  </si>
  <si>
    <t>M002</t>
  </si>
  <si>
    <t>算数</t>
  </si>
  <si>
    <t>test5</t>
  </si>
  <si>
    <t>思判表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</si>
  <si>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</si>
  <si>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</si>
  <si>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</si>
  <si>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</si>
  <si>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</si>
  <si>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</si>
  <si>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</si>
  <si>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</si>
  <si>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</si>
  <si>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</si>
  <si>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</si>
  <si>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</si>
  <si>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</si>
  <si>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</si>
  <si>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</si>
  <si>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</si>
  <si>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</si>
  <si>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</si>
  <si>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</si>
  <si>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</si>
  <si>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</si>
  <si>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</si>
  <si>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</si>
  <si>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</si>
  <si>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</si>
  <si>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</si>
  <si>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</si>
  <si>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</si>
  <si>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</si>
  <si>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</si>
  <si>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</si>
  <si>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</si>
  <si>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</si>
  <si>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</si>
  <si>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</si>
  <si>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</si>
  <si>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</si>
  <si>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</si>
  <si>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</si>
  <si>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</si>
  <si>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</si>
  <si>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</si>
  <si>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</si>
  <si>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</si>
  <si>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</si>
  <si>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</si>
  <si>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</si>
  <si>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</si>
  <si>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M002_test5_思判表</t>
  </si>
  <si>
    <t>追試中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</si>
</sst>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游ゴシック"/>
      <family val="2"/>
      <charset val="128"/>
      <scheme val="minor"/>
    </font>
    <font>
      <sz val="16"/>
      <color rgb="FF000000"/>
      <name val="游ゴシック"/>
      <family val="3"/>
      <charset val="128"/>
    </font>
    <font>
      <b/>
      <sz val="20"/>
      <color theme="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color rgb="FFFFFFFF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F0F0F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4" fillId="2" borderId="0" xfId="0" applyFont="1" applyFill="1">
      <alignment vertical="center"/>
    </xf>
    <xf numFmtId="0" fontId="4" fillId="0" borderId="0" xfId="0" applyFont="1">
      <alignment vertical="center"/>
    </xf>
    <xf numFmtId="0" fontId="6" fillId="2" borderId="0" xfId="0" applyFont="1" applyFill="1">
      <alignment vertical="center"/>
    </xf>
    <xf numFmtId="0" fontId="7" fillId="2" borderId="0" xfId="0" applyFont="1" applyFill="1">
      <alignment vertical="center"/>
    </xf>
    <xf numFmtId="0" fontId="7" fillId="0" borderId="0" xfId="0" applyFont="1">
      <alignment vertical="center"/>
    </xf>
    <xf numFmtId="0" fontId="8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7" fillId="0" borderId="1" xfId="0" applyFont="1" applyBorder="1">
      <alignment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2143125</xdr:colOff>
          <xdr:row>0</xdr:row>
          <xdr:rowOff>9525</xdr:rowOff>
        </xdr:from>
        <xdr:to>
          <xdr:col>7</xdr:col>
          <xdr:colOff>0</xdr:colOff>
          <xdr:row>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&#20581;&#19968;&#37070;\&#20181;&#20107;\11&#21508;&#31278;&#12503;&#12525;&#12464;&#12521;&#12512;\GradeProcessing\&#25104;&#32318;&#20966;&#29702;.xlsm" TargetMode="External"/><Relationship Id="rId1" Type="http://schemas.openxmlformats.org/officeDocument/2006/relationships/externalLinkPath" Target="&#25104;&#32318;&#20966;&#2970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名簿"/>
      <sheetName val="テスト入力"/>
      <sheetName val="データ"/>
      <sheetName val="Subject"/>
      <sheetName val="Result"/>
      <sheetName val="比較分析"/>
      <sheetName val="Setting"/>
      <sheetName val="追試管理メニュー"/>
      <sheetName val="追試管理シート"/>
    </sheetNames>
    <definedNames>
      <definedName name="AddRetestRoundUI"/>
      <definedName name="ApplyFinalScoreFormulasUI"/>
      <definedName name="CompleteRetestUI"/>
      <definedName name="RefreshRetes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CD9E1-C27D-44D9-A70A-F65C8889AC73}">
  <sheetPr codeName="sh_rt_menu">
    <tabColor rgb="FFFFC000"/>
  </sheetPr>
  <dimension ref="A1:J4"/>
  <sheetViews>
    <sheetView workbookViewId="0">
      <selection activeCell="M2" sqref="M2"/>
    </sheetView>
  </sheetViews>
  <sheetFormatPr defaultRowHeight="18.75" x14ac:dyDescent="0.4"/>
  <cols>
    <col min="7" max="7" width="41.5" customWidth="1"/>
  </cols>
  <sheetData>
    <row r="1" spans="1:10" ht="33" x14ac:dyDescent="0.4">
      <c r="A1" s="1" t="s">
        <v>0</v>
      </c>
      <c r="B1" s="2"/>
      <c r="C1" s="2"/>
      <c r="D1" s="2"/>
      <c r="E1" s="2"/>
      <c r="F1" s="2"/>
      <c r="G1" s="2"/>
    </row>
    <row r="2" spans="1:10" ht="24" customHeight="1" x14ac:dyDescent="0.4">
      <c r="A2" t="s">
        <v>1</v>
      </c>
    </row>
    <row r="3" spans="1:10" x14ac:dyDescent="0.4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4</v>
      </c>
      <c r="H3" s="4"/>
      <c r="I3" s="4"/>
      <c r="J3" s="4"/>
    </row>
    <row r="4" spans="1:10" x14ac:dyDescent="0.4">
      <c r="A4" t="s">
        <v>23</v>
      </c>
      <c r="B4" t="s">
        <v>24</v>
      </c>
      <c r="C4" t="s">
        <v>25</v>
      </c>
      <c r="D4" t="s">
        <v>26</v>
      </c>
      <c r="E4" t="s">
        <v>76</v>
      </c>
      <c r="F4">
        <f ca="1">COUNTBLANK(INDIRECT("'M002_test5_思判表'!E11:E50"))</f>
        <v>40</v>
      </c>
      <c r="G4" t="s">
        <v>75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RefreshRetestMenu">
                <anchor moveWithCells="1" sizeWithCells="1">
                  <from>
                    <xdr:col>6</xdr:col>
                    <xdr:colOff>2143125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9CD0-12C7-4323-AC0D-988D17BBDF16}">
  <sheetPr codeName="sh_rt_template"/>
  <dimension ref="A1:H40"/>
  <sheetViews>
    <sheetView tabSelected="1" workbookViewId="0">
      <selection activeCell="I21" sqref="I21"/>
    </sheetView>
  </sheetViews>
  <sheetFormatPr defaultRowHeight="16.5" x14ac:dyDescent="0.4"/>
  <cols>
    <col min="1" max="1" width="12.625" style="7" customWidth="1"/>
    <col min="2" max="3" width="8.625" style="7" customWidth="1"/>
    <col min="4" max="4" width="10.625" style="7" customWidth="1"/>
    <col min="5" max="5" width="12.625" style="7" customWidth="1"/>
    <col min="6" max="6" width="9" style="7"/>
    <col min="7" max="7" width="10.375" style="7" customWidth="1"/>
    <col min="8" max="16384" width="9" style="7"/>
  </cols>
  <sheetData>
    <row r="1" spans="1:8" ht="24" x14ac:dyDescent="0.4">
      <c r="A1" s="5" t="s">
        <v>8</v>
      </c>
      <c r="B1" s="6"/>
      <c r="C1" s="6"/>
      <c r="D1" s="6"/>
      <c r="E1" s="6"/>
      <c r="F1" s="6"/>
      <c r="G1" s="6"/>
      <c r="H1" s="6"/>
    </row>
    <row r="2" spans="1:8" ht="57" customHeight="1" x14ac:dyDescent="0.4"/>
    <row r="3" spans="1:8" x14ac:dyDescent="0.4">
      <c r="A3" s="8" t="s">
        <v>9</v>
      </c>
      <c r="B3" s="9" t="s">
        <v>23</v>
      </c>
      <c r="D3" s="8" t="s">
        <v>10</v>
      </c>
      <c r="E3" s="7">
        <v>100</v>
      </c>
      <c r="G3" s="10" t="s">
        <v>11</v>
      </c>
      <c r="H3" s="11"/>
    </row>
    <row r="4" spans="1:8" x14ac:dyDescent="0.4">
      <c r="A4" s="8" t="s">
        <v>3</v>
      </c>
      <c r="B4" s="9" t="s">
        <v>24</v>
      </c>
      <c r="D4" s="8" t="s">
        <v>12</v>
      </c>
      <c r="G4" s="10" t="s">
        <v>13</v>
      </c>
      <c r="H4" s="11"/>
    </row>
    <row r="5" spans="1:8" x14ac:dyDescent="0.4">
      <c r="A5" s="8" t="s">
        <v>4</v>
      </c>
      <c r="B5" s="9" t="s">
        <v>25</v>
      </c>
      <c r="D5" s="8" t="s">
        <v>14</v>
      </c>
    </row>
    <row r="6" spans="1:8" x14ac:dyDescent="0.4">
      <c r="A6" s="8" t="s">
        <v>5</v>
      </c>
      <c r="B6" s="9" t="s">
        <v>26</v>
      </c>
      <c r="D6" s="8" t="str">
        <f>IF(E5="内分点","内分比","")</f>
        <v/>
      </c>
    </row>
    <row r="7" spans="1:8" x14ac:dyDescent="0.4">
      <c r="A7" s="8" t="s">
        <v>15</v>
      </c>
      <c r="B7" s="9"/>
      <c r="D7" s="8" t="s">
        <v>6</v>
      </c>
      <c r="E7" s="7" t="s">
        <v>16</v>
      </c>
    </row>
    <row r="10" spans="1:8" s="13" customFormat="1" x14ac:dyDescent="0.4">
      <c r="A10" s="12" t="s">
        <v>2</v>
      </c>
      <c r="B10" s="12" t="s">
        <v>17</v>
      </c>
      <c r="C10" s="12" t="s">
        <v>18</v>
      </c>
      <c r="D10" s="12" t="s">
        <v>19</v>
      </c>
      <c r="E10" s="12" t="s">
        <v>20</v>
      </c>
      <c r="F10" s="12" t="s">
        <v>21</v>
      </c>
      <c r="G10" s="12" t="s">
        <v>22</v>
      </c>
      <c r="H10" s="12"/>
    </row>
    <row r="11" spans="1:8" x14ac:dyDescent="0.4">
      <c r="A11" s="7">
        <v>10010001</v>
      </c>
      <c r="B11" s="7" t="s">
        <v>27</v>
      </c>
      <c r="C11" s="7" t="s">
        <v>28</v>
      </c>
      <c r="D11" s="7">
        <v>84</v>
      </c>
      <c r="G11" s="7" t="str">
        <f>IF($E$4="","",IF(F11&gt;=$E$4,"合格",""))</f>
        <v/>
      </c>
    </row>
    <row r="12" spans="1:8" x14ac:dyDescent="0.4">
      <c r="A12" s="7">
        <v>10010002</v>
      </c>
      <c r="B12" s="7" t="s">
        <v>29</v>
      </c>
      <c r="C12" s="7" t="s">
        <v>30</v>
      </c>
      <c r="D12" s="7">
        <v>71</v>
      </c>
      <c r="G12" s="7" t="str">
        <f t="shared" ref="G12:G40" si="0">IF($E$4="","",IF(F12&gt;=$E$4,"合格",""))</f>
        <v/>
      </c>
    </row>
    <row r="13" spans="1:8" x14ac:dyDescent="0.4">
      <c r="A13" s="7">
        <v>10010003</v>
      </c>
      <c r="B13" s="7" t="s">
        <v>31</v>
      </c>
      <c r="C13" s="7" t="s">
        <v>32</v>
      </c>
      <c r="D13" s="7">
        <v>72</v>
      </c>
      <c r="G13" s="7" t="str">
        <f t="shared" si="0"/>
        <v/>
      </c>
    </row>
    <row r="14" spans="1:8" x14ac:dyDescent="0.4">
      <c r="A14" s="7">
        <v>10010004</v>
      </c>
      <c r="B14" s="7" t="s">
        <v>33</v>
      </c>
      <c r="C14" s="7" t="s">
        <v>34</v>
      </c>
      <c r="D14" s="7">
        <v>75</v>
      </c>
      <c r="G14" s="7" t="str">
        <f t="shared" si="0"/>
        <v/>
      </c>
    </row>
    <row r="15" spans="1:8" x14ac:dyDescent="0.4">
      <c r="A15" s="7">
        <v>10010005</v>
      </c>
      <c r="B15" s="7" t="s">
        <v>35</v>
      </c>
      <c r="C15" s="7" t="s">
        <v>32</v>
      </c>
      <c r="D15" s="7">
        <v>75</v>
      </c>
      <c r="G15" s="7" t="str">
        <f t="shared" si="0"/>
        <v/>
      </c>
    </row>
    <row r="16" spans="1:8" x14ac:dyDescent="0.4">
      <c r="A16" s="7">
        <v>10010006</v>
      </c>
      <c r="B16" s="7" t="s">
        <v>36</v>
      </c>
      <c r="C16" s="7" t="s">
        <v>30</v>
      </c>
      <c r="D16" s="7">
        <v>85</v>
      </c>
      <c r="G16" s="7" t="str">
        <f t="shared" si="0"/>
        <v/>
      </c>
    </row>
    <row r="17" spans="1:7" x14ac:dyDescent="0.4">
      <c r="A17" s="7">
        <v>10010007</v>
      </c>
      <c r="B17" s="7" t="s">
        <v>37</v>
      </c>
      <c r="C17" s="7" t="s">
        <v>38</v>
      </c>
      <c r="D17" s="7">
        <v>91</v>
      </c>
      <c r="G17" s="7" t="str">
        <f t="shared" si="0"/>
        <v/>
      </c>
    </row>
    <row r="18" spans="1:7" x14ac:dyDescent="0.4">
      <c r="A18" s="7">
        <v>10010008</v>
      </c>
      <c r="B18" s="7" t="s">
        <v>39</v>
      </c>
      <c r="C18" s="7" t="s">
        <v>40</v>
      </c>
      <c r="D18" s="7">
        <v>90</v>
      </c>
      <c r="G18" s="7" t="str">
        <f t="shared" si="0"/>
        <v/>
      </c>
    </row>
    <row r="19" spans="1:7" x14ac:dyDescent="0.4">
      <c r="A19" s="7">
        <v>10010009</v>
      </c>
      <c r="B19" s="7" t="s">
        <v>41</v>
      </c>
      <c r="C19" s="7" t="s">
        <v>42</v>
      </c>
      <c r="D19" s="7">
        <v>82</v>
      </c>
      <c r="G19" s="7" t="str">
        <f t="shared" si="0"/>
        <v/>
      </c>
    </row>
    <row r="20" spans="1:7" x14ac:dyDescent="0.4">
      <c r="A20" s="7">
        <v>10010010</v>
      </c>
      <c r="B20" s="7" t="s">
        <v>43</v>
      </c>
      <c r="C20" s="7" t="s">
        <v>44</v>
      </c>
      <c r="D20" s="7">
        <v>99</v>
      </c>
      <c r="G20" s="7" t="str">
        <f t="shared" si="0"/>
        <v/>
      </c>
    </row>
    <row r="21" spans="1:7" x14ac:dyDescent="0.4">
      <c r="A21" s="7">
        <v>10010011</v>
      </c>
      <c r="B21" s="7" t="s">
        <v>45</v>
      </c>
      <c r="C21" s="7" t="s">
        <v>46</v>
      </c>
      <c r="D21" s="7">
        <v>86</v>
      </c>
      <c r="G21" s="7" t="str">
        <f t="shared" si="0"/>
        <v/>
      </c>
    </row>
    <row r="22" spans="1:7" x14ac:dyDescent="0.4">
      <c r="A22" s="7">
        <v>10010012</v>
      </c>
      <c r="B22" s="7" t="s">
        <v>47</v>
      </c>
      <c r="C22" s="7" t="s">
        <v>48</v>
      </c>
      <c r="D22" s="7">
        <v>85</v>
      </c>
      <c r="G22" s="7" t="str">
        <f t="shared" si="0"/>
        <v/>
      </c>
    </row>
    <row r="23" spans="1:7" x14ac:dyDescent="0.4">
      <c r="A23" s="7">
        <v>10010013</v>
      </c>
      <c r="B23" s="7" t="s">
        <v>49</v>
      </c>
      <c r="C23" s="7" t="s">
        <v>42</v>
      </c>
      <c r="D23" s="7">
        <v>89</v>
      </c>
      <c r="G23" s="7" t="str">
        <f t="shared" si="0"/>
        <v/>
      </c>
    </row>
    <row r="24" spans="1:7" x14ac:dyDescent="0.4">
      <c r="A24" s="7">
        <v>10010014</v>
      </c>
      <c r="B24" s="7" t="s">
        <v>50</v>
      </c>
      <c r="C24" s="7" t="s">
        <v>51</v>
      </c>
      <c r="D24" s="7">
        <v>91</v>
      </c>
      <c r="G24" s="7" t="str">
        <f t="shared" si="0"/>
        <v/>
      </c>
    </row>
    <row r="25" spans="1:7" x14ac:dyDescent="0.4">
      <c r="A25" s="7">
        <v>10010015</v>
      </c>
      <c r="B25" s="7" t="s">
        <v>52</v>
      </c>
      <c r="C25" s="7" t="s">
        <v>42</v>
      </c>
      <c r="D25" s="7">
        <v>82</v>
      </c>
      <c r="G25" s="7" t="str">
        <f t="shared" si="0"/>
        <v/>
      </c>
    </row>
    <row r="26" spans="1:7" x14ac:dyDescent="0.4">
      <c r="A26" s="7">
        <v>10010016</v>
      </c>
      <c r="B26" s="7" t="s">
        <v>53</v>
      </c>
      <c r="C26" s="7" t="s">
        <v>51</v>
      </c>
      <c r="D26" s="7">
        <v>87</v>
      </c>
      <c r="G26" s="7" t="str">
        <f t="shared" si="0"/>
        <v/>
      </c>
    </row>
    <row r="27" spans="1:7" x14ac:dyDescent="0.4">
      <c r="A27" s="7">
        <v>10010017</v>
      </c>
      <c r="B27" s="7" t="s">
        <v>54</v>
      </c>
      <c r="C27" s="7" t="s">
        <v>55</v>
      </c>
      <c r="D27" s="7">
        <v>98</v>
      </c>
      <c r="G27" s="7" t="str">
        <f t="shared" si="0"/>
        <v/>
      </c>
    </row>
    <row r="28" spans="1:7" x14ac:dyDescent="0.4">
      <c r="A28" s="7">
        <v>10010018</v>
      </c>
      <c r="B28" s="7" t="s">
        <v>56</v>
      </c>
      <c r="C28" s="7" t="s">
        <v>30</v>
      </c>
      <c r="D28" s="7">
        <v>75</v>
      </c>
      <c r="G28" s="7" t="str">
        <f t="shared" si="0"/>
        <v/>
      </c>
    </row>
    <row r="29" spans="1:7" x14ac:dyDescent="0.4">
      <c r="A29" s="7">
        <v>10010019</v>
      </c>
      <c r="B29" s="7" t="s">
        <v>57</v>
      </c>
      <c r="C29" s="7" t="s">
        <v>58</v>
      </c>
      <c r="D29" s="7">
        <v>95</v>
      </c>
      <c r="G29" s="7" t="str">
        <f t="shared" si="0"/>
        <v/>
      </c>
    </row>
    <row r="30" spans="1:7" x14ac:dyDescent="0.4">
      <c r="A30" s="7">
        <v>10010020</v>
      </c>
      <c r="B30" s="7" t="s">
        <v>59</v>
      </c>
      <c r="C30" s="7" t="s">
        <v>51</v>
      </c>
      <c r="D30" s="7">
        <v>76</v>
      </c>
      <c r="G30" s="7" t="str">
        <f t="shared" si="0"/>
        <v/>
      </c>
    </row>
    <row r="31" spans="1:7" x14ac:dyDescent="0.4">
      <c r="A31" s="7">
        <v>10010021</v>
      </c>
      <c r="B31" s="7" t="s">
        <v>60</v>
      </c>
      <c r="C31" s="7" t="s">
        <v>61</v>
      </c>
      <c r="D31" s="7">
        <v>80</v>
      </c>
      <c r="G31" s="7" t="str">
        <f t="shared" si="0"/>
        <v/>
      </c>
    </row>
    <row r="32" spans="1:7" x14ac:dyDescent="0.4">
      <c r="A32" s="7">
        <v>10010022</v>
      </c>
      <c r="B32" s="7" t="s">
        <v>62</v>
      </c>
      <c r="C32" s="7" t="s">
        <v>30</v>
      </c>
      <c r="D32" s="7">
        <v>92</v>
      </c>
      <c r="G32" s="7" t="str">
        <f t="shared" si="0"/>
        <v/>
      </c>
    </row>
    <row r="33" spans="1:7" x14ac:dyDescent="0.4">
      <c r="A33" s="7">
        <v>10010023</v>
      </c>
      <c r="B33" s="7" t="s">
        <v>63</v>
      </c>
      <c r="C33" s="7" t="s">
        <v>64</v>
      </c>
      <c r="D33" s="7">
        <v>81</v>
      </c>
      <c r="G33" s="7" t="str">
        <f t="shared" si="0"/>
        <v/>
      </c>
    </row>
    <row r="34" spans="1:7" x14ac:dyDescent="0.4">
      <c r="A34" s="7">
        <v>10010024</v>
      </c>
      <c r="B34" s="7" t="s">
        <v>65</v>
      </c>
      <c r="C34" s="7" t="s">
        <v>48</v>
      </c>
      <c r="D34" s="7">
        <v>93</v>
      </c>
      <c r="G34" s="7" t="str">
        <f t="shared" si="0"/>
        <v/>
      </c>
    </row>
    <row r="35" spans="1:7" x14ac:dyDescent="0.4">
      <c r="A35" s="7">
        <v>10010025</v>
      </c>
      <c r="B35" s="7" t="s">
        <v>66</v>
      </c>
      <c r="C35" s="7" t="s">
        <v>67</v>
      </c>
      <c r="D35" s="7">
        <v>91</v>
      </c>
      <c r="G35" s="7" t="str">
        <f t="shared" si="0"/>
        <v/>
      </c>
    </row>
    <row r="36" spans="1:7" x14ac:dyDescent="0.4">
      <c r="A36" s="7">
        <v>10010026</v>
      </c>
      <c r="B36" s="7" t="s">
        <v>68</v>
      </c>
      <c r="C36" s="7" t="s">
        <v>69</v>
      </c>
      <c r="D36" s="7">
        <v>87</v>
      </c>
      <c r="G36" s="7" t="str">
        <f t="shared" si="0"/>
        <v/>
      </c>
    </row>
    <row r="37" spans="1:7" x14ac:dyDescent="0.4">
      <c r="A37" s="7">
        <v>10010027</v>
      </c>
      <c r="B37" s="7" t="s">
        <v>70</v>
      </c>
      <c r="C37" s="7" t="s">
        <v>55</v>
      </c>
      <c r="D37" s="7">
        <v>86</v>
      </c>
      <c r="G37" s="7" t="str">
        <f t="shared" si="0"/>
        <v/>
      </c>
    </row>
    <row r="38" spans="1:7" x14ac:dyDescent="0.4">
      <c r="A38" s="7">
        <v>10010028</v>
      </c>
      <c r="B38" s="7" t="s">
        <v>71</v>
      </c>
      <c r="C38" s="7" t="s">
        <v>30</v>
      </c>
      <c r="D38" s="7">
        <v>86</v>
      </c>
      <c r="G38" s="7" t="str">
        <f t="shared" si="0"/>
        <v/>
      </c>
    </row>
    <row r="39" spans="1:7" x14ac:dyDescent="0.4">
      <c r="A39" s="7">
        <v>10010029</v>
      </c>
      <c r="B39" s="7" t="s">
        <v>72</v>
      </c>
      <c r="C39" s="7" t="s">
        <v>67</v>
      </c>
      <c r="D39" s="7">
        <v>94</v>
      </c>
      <c r="G39" s="7" t="str">
        <f t="shared" si="0"/>
        <v/>
      </c>
    </row>
    <row r="40" spans="1:7" x14ac:dyDescent="0.4">
      <c r="A40" s="7">
        <v>10010030</v>
      </c>
      <c r="B40" s="7" t="s">
        <v>73</v>
      </c>
      <c r="C40" s="7" t="s">
        <v>74</v>
      </c>
      <c r="D40" s="7">
        <v>78</v>
      </c>
      <c r="G40" s="7" t="str">
        <f t="shared" si="0"/>
        <v/>
      </c>
    </row>
  </sheetData>
  <phoneticPr fontId="3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53ABB7CE-38AC-481F-9ADA-1BB0BC22E503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1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MENU</vt:lpstr>
      <vt:lpstr>M002_test5_思判表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健一郎 矢原</dc:creator>
  <cp:lastModifiedBy>健一郎 矢原</cp:lastModifiedBy>
  <dcterms:created xsi:type="dcterms:W3CDTF">2026-02-17T13:04:12Z</dcterms:created>
  <dcterms:modified xsi:type="dcterms:W3CDTF">2026-02-17T13:11:54Z</dcterms:modified>
</cp:coreProperties>
</file>