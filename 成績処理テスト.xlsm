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6.xml" ContentType="application/vnd.openxmlformats-officedocument.drawing+xml"/>
  <Override PartName="/xl/ctrlProps/ctrlProp30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6DF94657-C5BE-477F-A942-A74EBA093CB3}" xr6:coauthVersionLast="47" xr6:coauthVersionMax="47" xr10:uidLastSave="{00000000-0000-0000-0000-000000000000}"/>
  <bookViews>
    <workbookView xWindow="28680" yWindow="-495" windowWidth="29040" windowHeight="16440" tabRatio="816" activeTab="5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比較分析" sheetId="7" r:id="rId7"/>
    <sheet name="Setting" sheetId="3" r:id="rId8"/>
    <sheet name="追試管理メニュー" sheetId="11" state="veryHidden" r:id="rId9"/>
    <sheet name="追試管理シート" sheetId="12" state="veryHidden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比較分析!$F$15:$F$54</definedName>
    <definedName name="_xlchart.v1.1" hidden="1">比較分析!$K$15:$K$54</definedName>
    <definedName name="_xlchart.v1.2" hidden="1">比較分析!$C$15:$C$54</definedName>
    <definedName name="_xlchart.v1.3" hidden="1">比較分析!$D$15:$D$54</definedName>
    <definedName name="_xlchart.v1.4" hidden="1">比較分析!$E$15:$E$54</definedName>
    <definedName name="_xlchart.v1.5" hidden="1">比較分析!$H$15:$H$54</definedName>
    <definedName name="_xlchart.v1.6" hidden="1">比較分析!$I$15:$I$54</definedName>
    <definedName name="_xlchart.v1.7" hidden="1">比較分析!$J$14:$J$54</definedName>
    <definedName name="_xlnm.Print_Area" localSheetId="4">Subject!$A$1:$J$48</definedName>
    <definedName name="_xlnm.Print_Titles" localSheetId="5">Result!$A:$C,Result!$8:$10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6" l="1"/>
  <c r="T19" i="6"/>
  <c r="T18" i="6"/>
  <c r="J52" i="6"/>
  <c r="H52" i="6"/>
  <c r="I52" i="6"/>
  <c r="M52" i="6" s="1"/>
  <c r="G52" i="6"/>
  <c r="L52" i="6" s="1"/>
  <c r="J51" i="6"/>
  <c r="H51" i="6"/>
  <c r="I51" i="6"/>
  <c r="M51" i="6" s="1"/>
  <c r="G51" i="6"/>
  <c r="L51" i="6" s="1"/>
  <c r="J50" i="6"/>
  <c r="H50" i="6"/>
  <c r="I50" i="6"/>
  <c r="M50" i="6" s="1"/>
  <c r="G50" i="6"/>
  <c r="L50" i="6" s="1"/>
  <c r="M49" i="6"/>
  <c r="R49" i="6" s="1"/>
  <c r="J49" i="6"/>
  <c r="H49" i="6"/>
  <c r="I49" i="6"/>
  <c r="G49" i="6"/>
  <c r="L49" i="6" s="1"/>
  <c r="J48" i="6"/>
  <c r="H48" i="6"/>
  <c r="I48" i="6"/>
  <c r="M48" i="6" s="1"/>
  <c r="G48" i="6"/>
  <c r="L48" i="6" s="1"/>
  <c r="L47" i="6"/>
  <c r="J47" i="6"/>
  <c r="M47" i="6" s="1"/>
  <c r="H47" i="6"/>
  <c r="I47" i="6"/>
  <c r="G47" i="6"/>
  <c r="J46" i="6"/>
  <c r="H46" i="6"/>
  <c r="I46" i="6"/>
  <c r="M46" i="6" s="1"/>
  <c r="G46" i="6"/>
  <c r="L46" i="6" s="1"/>
  <c r="J45" i="6"/>
  <c r="H45" i="6"/>
  <c r="L45" i="6" s="1"/>
  <c r="I45" i="6"/>
  <c r="M45" i="6" s="1"/>
  <c r="G45" i="6"/>
  <c r="J44" i="6"/>
  <c r="H44" i="6"/>
  <c r="I44" i="6"/>
  <c r="M44" i="6" s="1"/>
  <c r="G44" i="6"/>
  <c r="L44" i="6" s="1"/>
  <c r="J43" i="6"/>
  <c r="H43" i="6"/>
  <c r="I43" i="6"/>
  <c r="M43" i="6" s="1"/>
  <c r="G43" i="6"/>
  <c r="L43" i="6" s="1"/>
  <c r="J42" i="6"/>
  <c r="H42" i="6"/>
  <c r="I42" i="6"/>
  <c r="M42" i="6" s="1"/>
  <c r="G42" i="6"/>
  <c r="L42" i="6" s="1"/>
  <c r="J41" i="6"/>
  <c r="H41" i="6"/>
  <c r="I41" i="6"/>
  <c r="M41" i="6" s="1"/>
  <c r="G41" i="6"/>
  <c r="L41" i="6" s="1"/>
  <c r="J40" i="6"/>
  <c r="H40" i="6"/>
  <c r="I40" i="6"/>
  <c r="M40" i="6" s="1"/>
  <c r="G40" i="6"/>
  <c r="L40" i="6" s="1"/>
  <c r="J39" i="6"/>
  <c r="H39" i="6"/>
  <c r="I39" i="6"/>
  <c r="M39" i="6" s="1"/>
  <c r="G39" i="6"/>
  <c r="L39" i="6" s="1"/>
  <c r="M38" i="6"/>
  <c r="Q38" i="6" s="1"/>
  <c r="L38" i="6"/>
  <c r="J38" i="6"/>
  <c r="H38" i="6"/>
  <c r="I38" i="6"/>
  <c r="G38" i="6"/>
  <c r="J37" i="6"/>
  <c r="H37" i="6"/>
  <c r="I37" i="6"/>
  <c r="M37" i="6" s="1"/>
  <c r="G37" i="6"/>
  <c r="L37" i="6" s="1"/>
  <c r="J36" i="6"/>
  <c r="M36" i="6" s="1"/>
  <c r="H36" i="6"/>
  <c r="L36" i="6" s="1"/>
  <c r="I36" i="6"/>
  <c r="G36" i="6"/>
  <c r="J35" i="6"/>
  <c r="H35" i="6"/>
  <c r="I35" i="6"/>
  <c r="M35" i="6" s="1"/>
  <c r="G35" i="6"/>
  <c r="L35" i="6" s="1"/>
  <c r="J34" i="6"/>
  <c r="H34" i="6"/>
  <c r="I34" i="6"/>
  <c r="M34" i="6" s="1"/>
  <c r="G34" i="6"/>
  <c r="L34" i="6" s="1"/>
  <c r="J33" i="6"/>
  <c r="H33" i="6"/>
  <c r="I33" i="6"/>
  <c r="M33" i="6" s="1"/>
  <c r="G33" i="6"/>
  <c r="L33" i="6" s="1"/>
  <c r="J32" i="6"/>
  <c r="H32" i="6"/>
  <c r="I32" i="6"/>
  <c r="M32" i="6" s="1"/>
  <c r="G32" i="6"/>
  <c r="L32" i="6" s="1"/>
  <c r="J31" i="6"/>
  <c r="H31" i="6"/>
  <c r="I31" i="6"/>
  <c r="M31" i="6" s="1"/>
  <c r="G31" i="6"/>
  <c r="L31" i="6" s="1"/>
  <c r="J30" i="6"/>
  <c r="H30" i="6"/>
  <c r="I30" i="6"/>
  <c r="M30" i="6" s="1"/>
  <c r="G30" i="6"/>
  <c r="L30" i="6" s="1"/>
  <c r="M29" i="6"/>
  <c r="R29" i="6" s="1"/>
  <c r="J29" i="6"/>
  <c r="H29" i="6"/>
  <c r="I29" i="6"/>
  <c r="G29" i="6"/>
  <c r="L29" i="6" s="1"/>
  <c r="J28" i="6"/>
  <c r="H28" i="6"/>
  <c r="I28" i="6"/>
  <c r="M28" i="6" s="1"/>
  <c r="G28" i="6"/>
  <c r="L28" i="6" s="1"/>
  <c r="L27" i="6"/>
  <c r="J27" i="6"/>
  <c r="M27" i="6" s="1"/>
  <c r="H27" i="6"/>
  <c r="I27" i="6"/>
  <c r="G27" i="6"/>
  <c r="J26" i="6"/>
  <c r="H26" i="6"/>
  <c r="I26" i="6"/>
  <c r="M26" i="6" s="1"/>
  <c r="G26" i="6"/>
  <c r="L26" i="6" s="1"/>
  <c r="J25" i="6"/>
  <c r="H25" i="6"/>
  <c r="L25" i="6" s="1"/>
  <c r="I25" i="6"/>
  <c r="M25" i="6" s="1"/>
  <c r="G25" i="6"/>
  <c r="J24" i="6"/>
  <c r="H24" i="6"/>
  <c r="I24" i="6"/>
  <c r="M24" i="6" s="1"/>
  <c r="G24" i="6"/>
  <c r="L24" i="6" s="1"/>
  <c r="J23" i="6"/>
  <c r="H23" i="6"/>
  <c r="I23" i="6"/>
  <c r="M23" i="6" s="1"/>
  <c r="G23" i="6"/>
  <c r="L23" i="6" s="1"/>
  <c r="G17" i="6"/>
  <c r="G11" i="6"/>
  <c r="E21" i="6"/>
  <c r="E22" i="6" s="1"/>
  <c r="E20" i="6"/>
  <c r="E19" i="6"/>
  <c r="D21" i="6"/>
  <c r="D22" i="6" s="1"/>
  <c r="D20" i="6"/>
  <c r="D19" i="6"/>
  <c r="P21" i="10" a="1"/>
  <c r="P21" i="10" s="1"/>
  <c r="P22" i="10" s="1"/>
  <c r="P20" i="10" a="1"/>
  <c r="P20" i="10" s="1"/>
  <c r="P19" i="10"/>
  <c r="O21" i="10" a="1"/>
  <c r="O21" i="10" s="1"/>
  <c r="O22" i="10" s="1"/>
  <c r="O20" i="10" a="1"/>
  <c r="O20" i="10" s="1"/>
  <c r="O19" i="10"/>
  <c r="N21" i="10" a="1"/>
  <c r="N21" i="10" s="1"/>
  <c r="N22" i="10" s="1"/>
  <c r="N20" i="10" a="1"/>
  <c r="N20" i="10" s="1"/>
  <c r="N19" i="10"/>
  <c r="M21" i="10" a="1"/>
  <c r="M21" i="10" s="1"/>
  <c r="M22" i="10" s="1"/>
  <c r="M20" i="10" a="1"/>
  <c r="M20" i="10" s="1"/>
  <c r="M19" i="10"/>
  <c r="L21" i="10" a="1"/>
  <c r="L21" i="10" s="1"/>
  <c r="L20" i="10" a="1"/>
  <c r="L20" i="10" s="1"/>
  <c r="L19" i="10"/>
  <c r="K21" i="10" a="1"/>
  <c r="K21" i="10" s="1"/>
  <c r="K22" i="10" s="1"/>
  <c r="K20" i="10" a="1"/>
  <c r="K20" i="10" s="1"/>
  <c r="K19" i="10"/>
  <c r="J21" i="10" a="1"/>
  <c r="J21" i="10" s="1"/>
  <c r="J22" i="10" s="1"/>
  <c r="J20" i="10" a="1"/>
  <c r="J20" i="10" s="1"/>
  <c r="J19" i="10"/>
  <c r="I21" i="10" a="1"/>
  <c r="I21" i="10" s="1"/>
  <c r="I22" i="10" s="1"/>
  <c r="I20" i="10" a="1"/>
  <c r="I20" i="10" s="1"/>
  <c r="I19" i="10"/>
  <c r="H21" i="10" a="1"/>
  <c r="H21" i="10" s="1"/>
  <c r="H22" i="10" s="1"/>
  <c r="H20" i="10" a="1"/>
  <c r="H20" i="10" s="1"/>
  <c r="H19" i="10"/>
  <c r="G21" i="10" a="1"/>
  <c r="G21" i="10" s="1"/>
  <c r="G20" i="10" a="1"/>
  <c r="G20" i="10" s="1"/>
  <c r="G19" i="10"/>
  <c r="F21" i="10" a="1"/>
  <c r="F21" i="10" s="1"/>
  <c r="F22" i="10" s="1"/>
  <c r="F20" i="10" a="1"/>
  <c r="F20" i="10" s="1"/>
  <c r="F19" i="10"/>
  <c r="E21" i="10" a="1"/>
  <c r="E21" i="10" s="1"/>
  <c r="E22" i="10" s="1"/>
  <c r="E20" i="10" a="1"/>
  <c r="E20" i="10" s="1"/>
  <c r="E19" i="10"/>
  <c r="D21" i="10" a="1"/>
  <c r="D21" i="10" s="1"/>
  <c r="D22" i="10" s="1"/>
  <c r="D20" i="10" a="1"/>
  <c r="D20" i="10" s="1"/>
  <c r="D19" i="10"/>
  <c r="C3" i="1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15" i="7"/>
  <c r="F44" i="7"/>
  <c r="F43" i="7"/>
  <c r="F42" i="7"/>
  <c r="F41" i="7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A12" i="8"/>
  <c r="B12" i="8"/>
  <c r="C12" i="8"/>
  <c r="A13" i="8"/>
  <c r="B13" i="8"/>
  <c r="C13" i="8"/>
  <c r="A14" i="8"/>
  <c r="B14" i="8"/>
  <c r="C14" i="8"/>
  <c r="A15" i="8"/>
  <c r="B15" i="8"/>
  <c r="C15" i="8"/>
  <c r="A16" i="8"/>
  <c r="B16" i="8"/>
  <c r="C16" i="8"/>
  <c r="A17" i="8"/>
  <c r="B17" i="8"/>
  <c r="C17" i="8"/>
  <c r="A18" i="8"/>
  <c r="B18" i="8"/>
  <c r="C18" i="8"/>
  <c r="A19" i="8"/>
  <c r="B19" i="8"/>
  <c r="C19" i="8"/>
  <c r="A20" i="8"/>
  <c r="B20" i="8"/>
  <c r="C20" i="8"/>
  <c r="A21" i="8"/>
  <c r="B21" i="8"/>
  <c r="C21" i="8"/>
  <c r="A22" i="8"/>
  <c r="B22" i="8"/>
  <c r="C22" i="8"/>
  <c r="A23" i="8"/>
  <c r="B23" i="8"/>
  <c r="C23" i="8"/>
  <c r="A24" i="8"/>
  <c r="B24" i="8"/>
  <c r="C24" i="8"/>
  <c r="A25" i="8"/>
  <c r="B25" i="8"/>
  <c r="C25" i="8"/>
  <c r="A26" i="8"/>
  <c r="B26" i="8"/>
  <c r="C26" i="8"/>
  <c r="A27" i="8"/>
  <c r="B27" i="8"/>
  <c r="C27" i="8"/>
  <c r="A28" i="8"/>
  <c r="B28" i="8"/>
  <c r="C28" i="8"/>
  <c r="A29" i="8"/>
  <c r="B29" i="8"/>
  <c r="C29" i="8"/>
  <c r="A30" i="8"/>
  <c r="B30" i="8"/>
  <c r="C30" i="8"/>
  <c r="A31" i="8"/>
  <c r="B31" i="8"/>
  <c r="C31" i="8"/>
  <c r="A32" i="8"/>
  <c r="B32" i="8"/>
  <c r="C32" i="8"/>
  <c r="A33" i="8"/>
  <c r="B33" i="8"/>
  <c r="C33" i="8"/>
  <c r="A34" i="8"/>
  <c r="B34" i="8"/>
  <c r="C34" i="8"/>
  <c r="A35" i="8"/>
  <c r="B35" i="8"/>
  <c r="C35" i="8"/>
  <c r="A36" i="8"/>
  <c r="B36" i="8"/>
  <c r="C36" i="8"/>
  <c r="A37" i="8"/>
  <c r="B37" i="8"/>
  <c r="C37" i="8"/>
  <c r="A38" i="8"/>
  <c r="B38" i="8"/>
  <c r="C38" i="8"/>
  <c r="A39" i="8"/>
  <c r="B39" i="8"/>
  <c r="C39" i="8"/>
  <c r="A40" i="8"/>
  <c r="B40" i="8"/>
  <c r="C40" i="8"/>
  <c r="A41" i="8"/>
  <c r="B41" i="8"/>
  <c r="C41" i="8"/>
  <c r="A42" i="8"/>
  <c r="B42" i="8"/>
  <c r="C42" i="8"/>
  <c r="A43" i="8"/>
  <c r="B43" i="8"/>
  <c r="C43" i="8"/>
  <c r="A44" i="8"/>
  <c r="B44" i="8"/>
  <c r="C44" i="8"/>
  <c r="A45" i="8"/>
  <c r="B45" i="8"/>
  <c r="C45" i="8"/>
  <c r="A46" i="8"/>
  <c r="B46" i="8"/>
  <c r="C46" i="8"/>
  <c r="A47" i="8"/>
  <c r="B47" i="8"/>
  <c r="C47" i="8"/>
  <c r="A48" i="8"/>
  <c r="B48" i="8"/>
  <c r="C48" i="8"/>
  <c r="A49" i="8"/>
  <c r="B49" i="8"/>
  <c r="C49" i="8"/>
  <c r="A50" i="8"/>
  <c r="B50" i="8"/>
  <c r="C50" i="8"/>
  <c r="B11" i="8"/>
  <c r="C11" i="8"/>
  <c r="A11" i="8"/>
  <c r="A23" i="6"/>
  <c r="A53" i="6"/>
  <c r="B53" i="6"/>
  <c r="C53" i="6"/>
  <c r="A54" i="6"/>
  <c r="B54" i="6"/>
  <c r="C54" i="6"/>
  <c r="A55" i="6"/>
  <c r="B55" i="6"/>
  <c r="C55" i="6"/>
  <c r="A56" i="6"/>
  <c r="B56" i="6"/>
  <c r="C56" i="6"/>
  <c r="A57" i="6"/>
  <c r="B57" i="6"/>
  <c r="C57" i="6"/>
  <c r="A58" i="6"/>
  <c r="B58" i="6"/>
  <c r="C58" i="6"/>
  <c r="A59" i="6"/>
  <c r="B59" i="6"/>
  <c r="C59" i="6"/>
  <c r="A60" i="6"/>
  <c r="B60" i="6"/>
  <c r="C60" i="6"/>
  <c r="A61" i="6"/>
  <c r="B61" i="6"/>
  <c r="C61" i="6"/>
  <c r="A62" i="6"/>
  <c r="B62" i="6"/>
  <c r="C62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A34" i="6"/>
  <c r="B34" i="6"/>
  <c r="C34" i="6"/>
  <c r="A35" i="6"/>
  <c r="B35" i="6"/>
  <c r="C35" i="6"/>
  <c r="A36" i="6"/>
  <c r="B36" i="6"/>
  <c r="C36" i="6"/>
  <c r="A37" i="6"/>
  <c r="B37" i="6"/>
  <c r="C37" i="6"/>
  <c r="A38" i="6"/>
  <c r="B38" i="6"/>
  <c r="C38" i="6"/>
  <c r="A39" i="6"/>
  <c r="B39" i="6"/>
  <c r="C39" i="6"/>
  <c r="A40" i="6"/>
  <c r="B40" i="6"/>
  <c r="C40" i="6"/>
  <c r="A41" i="6"/>
  <c r="B41" i="6"/>
  <c r="C41" i="6"/>
  <c r="A42" i="6"/>
  <c r="B42" i="6"/>
  <c r="C42" i="6"/>
  <c r="A43" i="6"/>
  <c r="B43" i="6"/>
  <c r="C43" i="6"/>
  <c r="A44" i="6"/>
  <c r="B44" i="6"/>
  <c r="C44" i="6"/>
  <c r="A45" i="6"/>
  <c r="B45" i="6"/>
  <c r="C45" i="6"/>
  <c r="A46" i="6"/>
  <c r="B46" i="6"/>
  <c r="C46" i="6"/>
  <c r="A47" i="6"/>
  <c r="B47" i="6"/>
  <c r="C47" i="6"/>
  <c r="A48" i="6"/>
  <c r="B48" i="6"/>
  <c r="C48" i="6"/>
  <c r="A49" i="6"/>
  <c r="B49" i="6"/>
  <c r="C49" i="6"/>
  <c r="A50" i="6"/>
  <c r="B50" i="6"/>
  <c r="C50" i="6"/>
  <c r="A51" i="6"/>
  <c r="B51" i="6"/>
  <c r="C51" i="6"/>
  <c r="A52" i="6"/>
  <c r="B52" i="6"/>
  <c r="C52" i="6"/>
  <c r="C23" i="6"/>
  <c r="B23" i="6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B23" i="10"/>
  <c r="C23" i="10"/>
  <c r="A23" i="10"/>
  <c r="B32" i="9"/>
  <c r="C32" i="9"/>
  <c r="B33" i="9"/>
  <c r="C33" i="9"/>
  <c r="B34" i="9"/>
  <c r="C34" i="9"/>
  <c r="B35" i="9"/>
  <c r="C35" i="9"/>
  <c r="B36" i="9"/>
  <c r="C36" i="9"/>
  <c r="B37" i="9"/>
  <c r="C37" i="9"/>
  <c r="B38" i="9"/>
  <c r="C38" i="9"/>
  <c r="B39" i="9"/>
  <c r="C39" i="9"/>
  <c r="B40" i="9"/>
  <c r="C40" i="9"/>
  <c r="B41" i="9"/>
  <c r="C41" i="9"/>
  <c r="B42" i="9"/>
  <c r="C42" i="9"/>
  <c r="B43" i="9"/>
  <c r="C43" i="9"/>
  <c r="B44" i="9"/>
  <c r="C44" i="9"/>
  <c r="B45" i="9"/>
  <c r="C45" i="9"/>
  <c r="B46" i="9"/>
  <c r="C46" i="9"/>
  <c r="B47" i="9"/>
  <c r="C47" i="9"/>
  <c r="B48" i="9"/>
  <c r="C48" i="9"/>
  <c r="B49" i="9"/>
  <c r="C49" i="9"/>
  <c r="B50" i="9"/>
  <c r="C50" i="9"/>
  <c r="B51" i="9"/>
  <c r="C51" i="9"/>
  <c r="B52" i="9"/>
  <c r="C52" i="9"/>
  <c r="B53" i="9"/>
  <c r="C53" i="9"/>
  <c r="B54" i="9"/>
  <c r="C54" i="9"/>
  <c r="B55" i="9"/>
  <c r="C55" i="9"/>
  <c r="B56" i="9"/>
  <c r="C56" i="9"/>
  <c r="B57" i="9"/>
  <c r="C57" i="9"/>
  <c r="B58" i="9"/>
  <c r="C58" i="9"/>
  <c r="B59" i="9"/>
  <c r="C59" i="9"/>
  <c r="B60" i="9"/>
  <c r="C60" i="9"/>
  <c r="B61" i="9"/>
  <c r="C61" i="9"/>
  <c r="B62" i="9"/>
  <c r="C62" i="9"/>
  <c r="B63" i="9"/>
  <c r="C63" i="9"/>
  <c r="B64" i="9"/>
  <c r="C64" i="9"/>
  <c r="B65" i="9"/>
  <c r="C65" i="9"/>
  <c r="B66" i="9"/>
  <c r="C66" i="9"/>
  <c r="B67" i="9"/>
  <c r="C67" i="9"/>
  <c r="B68" i="9"/>
  <c r="C68" i="9"/>
  <c r="B69" i="9"/>
  <c r="C69" i="9"/>
  <c r="B70" i="9"/>
  <c r="C70" i="9"/>
  <c r="C31" i="9"/>
  <c r="B31" i="9"/>
  <c r="F8" i="4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K54" i="7"/>
  <c r="M54" i="7" s="1"/>
  <c r="F54" i="7"/>
  <c r="K53" i="7"/>
  <c r="M53" i="7" s="1"/>
  <c r="F53" i="7"/>
  <c r="K52" i="7"/>
  <c r="F52" i="7"/>
  <c r="M52" i="7" s="1"/>
  <c r="K51" i="7"/>
  <c r="M51" i="7" s="1"/>
  <c r="F51" i="7"/>
  <c r="K50" i="7"/>
  <c r="F50" i="7"/>
  <c r="M50" i="7" s="1"/>
  <c r="K49" i="7"/>
  <c r="F49" i="7"/>
  <c r="M49" i="7" s="1"/>
  <c r="K48" i="7"/>
  <c r="F48" i="7"/>
  <c r="K47" i="7"/>
  <c r="F47" i="7"/>
  <c r="K46" i="7"/>
  <c r="F46" i="7"/>
  <c r="K45" i="7"/>
  <c r="F45" i="7"/>
  <c r="K44" i="7"/>
  <c r="K43" i="7"/>
  <c r="K42" i="7"/>
  <c r="K41" i="7"/>
  <c r="K40" i="7"/>
  <c r="F40" i="7"/>
  <c r="M40" i="7" s="1"/>
  <c r="K39" i="7"/>
  <c r="F39" i="7"/>
  <c r="K38" i="7"/>
  <c r="F38" i="7"/>
  <c r="K37" i="7"/>
  <c r="F37" i="7"/>
  <c r="K36" i="7"/>
  <c r="F36" i="7"/>
  <c r="K35" i="7"/>
  <c r="F35" i="7"/>
  <c r="M35" i="7" s="1"/>
  <c r="K34" i="7"/>
  <c r="F34" i="7"/>
  <c r="K33" i="7"/>
  <c r="F33" i="7"/>
  <c r="K32" i="7"/>
  <c r="F32" i="7"/>
  <c r="K31" i="7"/>
  <c r="F31" i="7"/>
  <c r="K30" i="7"/>
  <c r="F30" i="7"/>
  <c r="M30" i="7" s="1"/>
  <c r="K29" i="7"/>
  <c r="F29" i="7"/>
  <c r="K28" i="7"/>
  <c r="F28" i="7"/>
  <c r="M28" i="7" s="1"/>
  <c r="K27" i="7"/>
  <c r="F27" i="7"/>
  <c r="M27" i="7" s="1"/>
  <c r="K26" i="7"/>
  <c r="F26" i="7"/>
  <c r="K25" i="7"/>
  <c r="F25" i="7"/>
  <c r="K24" i="7"/>
  <c r="F24" i="7"/>
  <c r="K23" i="7"/>
  <c r="F23" i="7"/>
  <c r="K22" i="7"/>
  <c r="F22" i="7"/>
  <c r="K21" i="7"/>
  <c r="F21" i="7"/>
  <c r="K20" i="7"/>
  <c r="F20" i="7"/>
  <c r="K19" i="7"/>
  <c r="F19" i="7"/>
  <c r="K18" i="7"/>
  <c r="F18" i="7"/>
  <c r="K17" i="7"/>
  <c r="F17" i="7"/>
  <c r="K16" i="7"/>
  <c r="F16" i="7"/>
  <c r="K15" i="7"/>
  <c r="F15" i="7"/>
  <c r="K14" i="7"/>
  <c r="F14" i="7"/>
  <c r="G24" i="9" a="1"/>
  <c r="G24" i="9" s="1"/>
  <c r="F24" i="9" a="1"/>
  <c r="F24" i="9" s="1"/>
  <c r="N16" i="9"/>
  <c r="N14" i="9"/>
  <c r="N12" i="9"/>
  <c r="E24" i="9" a="1"/>
  <c r="D24" i="9" a="1"/>
  <c r="N17" i="10"/>
  <c r="I17" i="10"/>
  <c r="D17" i="10"/>
  <c r="M17" i="10"/>
  <c r="H17" i="10"/>
  <c r="L17" i="10"/>
  <c r="G17" i="10"/>
  <c r="K17" i="10"/>
  <c r="F17" i="10"/>
  <c r="O17" i="10"/>
  <c r="E17" i="10"/>
  <c r="P17" i="10"/>
  <c r="J17" i="10"/>
  <c r="E17" i="6"/>
  <c r="D17" i="6"/>
  <c r="R47" i="6" l="1"/>
  <c r="P47" i="6"/>
  <c r="Q47" i="6"/>
  <c r="R24" i="6"/>
  <c r="Q24" i="6"/>
  <c r="P24" i="6"/>
  <c r="R48" i="6"/>
  <c r="Q48" i="6"/>
  <c r="P48" i="6"/>
  <c r="P34" i="6"/>
  <c r="R34" i="6"/>
  <c r="Q34" i="6"/>
  <c r="R30" i="6"/>
  <c r="Q30" i="6"/>
  <c r="P30" i="6"/>
  <c r="R45" i="6"/>
  <c r="Q45" i="6"/>
  <c r="P45" i="6"/>
  <c r="R46" i="6"/>
  <c r="Q46" i="6"/>
  <c r="P46" i="6"/>
  <c r="R52" i="6"/>
  <c r="P52" i="6"/>
  <c r="Q52" i="6"/>
  <c r="Q43" i="6"/>
  <c r="P43" i="6"/>
  <c r="R43" i="6"/>
  <c r="R39" i="6"/>
  <c r="P39" i="6"/>
  <c r="Q39" i="6"/>
  <c r="R33" i="6"/>
  <c r="Q33" i="6"/>
  <c r="P33" i="6"/>
  <c r="Q25" i="6"/>
  <c r="P25" i="6"/>
  <c r="R25" i="6"/>
  <c r="R44" i="6"/>
  <c r="P44" i="6"/>
  <c r="Q44" i="6"/>
  <c r="Q35" i="6"/>
  <c r="P35" i="6"/>
  <c r="R35" i="6"/>
  <c r="R26" i="6"/>
  <c r="Q26" i="6"/>
  <c r="P26" i="6"/>
  <c r="R40" i="6"/>
  <c r="Q40" i="6"/>
  <c r="P40" i="6"/>
  <c r="P31" i="6"/>
  <c r="Q31" i="6"/>
  <c r="R31" i="6"/>
  <c r="R50" i="6"/>
  <c r="Q50" i="6"/>
  <c r="P50" i="6"/>
  <c r="Q36" i="6"/>
  <c r="P36" i="6"/>
  <c r="R36" i="6"/>
  <c r="P41" i="6"/>
  <c r="R41" i="6"/>
  <c r="Q41" i="6"/>
  <c r="R27" i="6"/>
  <c r="P27" i="6"/>
  <c r="Q27" i="6"/>
  <c r="Q32" i="6"/>
  <c r="P32" i="6"/>
  <c r="R32" i="6"/>
  <c r="Q37" i="6"/>
  <c r="R37" i="6"/>
  <c r="P37" i="6"/>
  <c r="P51" i="6"/>
  <c r="R51" i="6"/>
  <c r="Q51" i="6"/>
  <c r="P23" i="6"/>
  <c r="R23" i="6"/>
  <c r="Q23" i="6"/>
  <c r="Q42" i="6"/>
  <c r="P42" i="6"/>
  <c r="R42" i="6"/>
  <c r="Q28" i="6"/>
  <c r="R28" i="6"/>
  <c r="P28" i="6"/>
  <c r="P29" i="6"/>
  <c r="P49" i="6"/>
  <c r="Q29" i="6"/>
  <c r="P38" i="6"/>
  <c r="Q49" i="6"/>
  <c r="R38" i="6"/>
  <c r="L22" i="10"/>
  <c r="G22" i="10"/>
  <c r="E24" i="9"/>
  <c r="H3" i="1"/>
  <c r="I3" i="1" s="1"/>
  <c r="M45" i="7"/>
  <c r="M46" i="7"/>
  <c r="M47" i="7"/>
  <c r="M48" i="7"/>
  <c r="I3" i="7"/>
  <c r="M17" i="7"/>
  <c r="K2" i="7"/>
  <c r="M44" i="7"/>
  <c r="M41" i="7"/>
  <c r="M37" i="7"/>
  <c r="M33" i="7"/>
  <c r="M32" i="7"/>
  <c r="F6" i="7"/>
  <c r="M21" i="7"/>
  <c r="F2" i="7"/>
  <c r="K5" i="7"/>
  <c r="M36" i="7"/>
  <c r="M24" i="7"/>
  <c r="K4" i="7"/>
  <c r="I2" i="7" s="1"/>
  <c r="M25" i="7"/>
  <c r="K3" i="7"/>
  <c r="I4" i="7"/>
  <c r="M29" i="7"/>
  <c r="K6" i="7"/>
  <c r="N6" i="7"/>
  <c r="Q3" i="7" s="1"/>
  <c r="M20" i="7"/>
  <c r="M16" i="7"/>
  <c r="N2" i="7"/>
  <c r="D3" i="7"/>
  <c r="M18" i="7"/>
  <c r="M22" i="7"/>
  <c r="M26" i="7"/>
  <c r="M34" i="7"/>
  <c r="M38" i="7"/>
  <c r="M42" i="7"/>
  <c r="F3" i="7"/>
  <c r="F4" i="7"/>
  <c r="D2" i="7" s="1"/>
  <c r="F5" i="7"/>
  <c r="N1" i="7"/>
  <c r="M15" i="7"/>
  <c r="M19" i="7"/>
  <c r="M23" i="7"/>
  <c r="M31" i="7"/>
  <c r="M39" i="7"/>
  <c r="M43" i="7"/>
  <c r="D4" i="7"/>
  <c r="D24" i="9"/>
  <c r="N18" i="9"/>
  <c r="Q19" i="6" l="1"/>
  <c r="Q18" i="6"/>
  <c r="Q20" i="6"/>
  <c r="R20" i="6"/>
  <c r="R19" i="6"/>
  <c r="R18" i="6"/>
  <c r="P20" i="6"/>
  <c r="P19" i="6"/>
  <c r="P18" i="6"/>
  <c r="I5" i="7"/>
  <c r="G25" i="7"/>
  <c r="G51" i="7"/>
  <c r="G50" i="7"/>
  <c r="G49" i="7"/>
  <c r="G45" i="7"/>
  <c r="G44" i="7"/>
  <c r="G43" i="7"/>
  <c r="G42" i="7"/>
  <c r="G48" i="7"/>
  <c r="G47" i="7"/>
  <c r="G46" i="7"/>
  <c r="L45" i="7"/>
  <c r="L28" i="7"/>
  <c r="L50" i="7"/>
  <c r="L18" i="7"/>
  <c r="L43" i="7"/>
  <c r="L23" i="7"/>
  <c r="L53" i="7"/>
  <c r="L20" i="7"/>
  <c r="L19" i="7"/>
  <c r="L30" i="7"/>
  <c r="L34" i="7"/>
  <c r="L39" i="7"/>
  <c r="L27" i="7"/>
  <c r="L17" i="7"/>
  <c r="L42" i="7"/>
  <c r="L37" i="7"/>
  <c r="L16" i="7"/>
  <c r="L15" i="7"/>
  <c r="L33" i="7"/>
  <c r="L41" i="7"/>
  <c r="L24" i="7"/>
  <c r="L38" i="7"/>
  <c r="L31" i="7"/>
  <c r="L40" i="7"/>
  <c r="L29" i="7"/>
  <c r="L47" i="7"/>
  <c r="L48" i="7"/>
  <c r="L51" i="7"/>
  <c r="L22" i="7"/>
  <c r="D5" i="7"/>
  <c r="G38" i="7"/>
  <c r="Q2" i="7"/>
  <c r="G34" i="7"/>
  <c r="G39" i="7"/>
  <c r="G14" i="7"/>
  <c r="G17" i="7"/>
  <c r="G35" i="7"/>
  <c r="L46" i="7"/>
  <c r="L36" i="7"/>
  <c r="L25" i="7"/>
  <c r="L49" i="7"/>
  <c r="L32" i="7"/>
  <c r="L35" i="7"/>
  <c r="L52" i="7"/>
  <c r="L44" i="7"/>
  <c r="L26" i="7"/>
  <c r="L21" i="7"/>
  <c r="L54" i="7"/>
  <c r="L14" i="7"/>
  <c r="G41" i="7"/>
  <c r="G22" i="7"/>
  <c r="G15" i="7"/>
  <c r="G33" i="7"/>
  <c r="G54" i="7"/>
  <c r="G53" i="7"/>
  <c r="G40" i="7"/>
  <c r="G24" i="7"/>
  <c r="G52" i="7"/>
  <c r="G36" i="7"/>
  <c r="G32" i="7"/>
  <c r="G28" i="7"/>
  <c r="G20" i="7"/>
  <c r="G16" i="7"/>
  <c r="G26" i="7"/>
  <c r="G21" i="7"/>
  <c r="G30" i="7"/>
  <c r="G37" i="7"/>
  <c r="M55" i="7"/>
  <c r="M56" i="7"/>
  <c r="G18" i="7"/>
  <c r="G19" i="7"/>
  <c r="G27" i="7"/>
  <c r="N3" i="7"/>
  <c r="G29" i="7"/>
  <c r="G31" i="7"/>
  <c r="G23" i="7"/>
  <c r="N4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<sst xmlns="http://schemas.openxmlformats.org/spreadsheetml/2006/main" count="704" uniqueCount="254">
  <si>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</si>
  <si>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</si>
  <si>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</si>
  <si>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</si>
  <si>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</si>
  <si>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</si>
  <si>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</si>
  <si>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</si>
  <si>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</si>
  <si>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</si>
  <si>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</si>
  <si>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変動係数</t>
    <rPh sb="0" eb="4">
      <t>ヘンドウケイスウ</t>
    </rPh>
    <phoneticPr fontId="1"/>
  </si>
  <si>
    <t>キー最終値</t>
    <rPh sb="2" eb="4">
      <t>サイシュウ</t>
    </rPh>
    <rPh sb="4" eb="5">
      <t>チ</t>
    </rPh>
    <phoneticPr fontId="1"/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</si>
  <si>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</si>
  <si>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</si>
  <si>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</si>
  <si>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</si>
  <si>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</si>
  <si>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</si>
  <si>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</si>
  <si>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</si>
  <si>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</si>
  <si>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</si>
  <si>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</si>
  <si>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</si>
  <si>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</si>
  <si>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</si>
  <si>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</si>
  <si>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</si>
  <si>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</si>
  <si>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</si>
  <si>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</si>
  <si>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</si>
  <si>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</si>
  <si>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</si>
  <si>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</si>
  <si>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</si>
  <si>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</si>
  <si>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</si>
  <si>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</si>
  <si>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</si>
  <si>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</si>
  <si>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</si>
  <si>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</si>
  <si>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</si>
  <si>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</si>
  <si>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</si>
  <si>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</si>
  <si>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</si>
  <si>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</si>
  <si>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</si>
  <si>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</si>
  <si>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</si>
  <si>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</si>
  <si>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</si>
  <si>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</si>
  <si>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</si>
  <si>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</si>
  <si>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</si>
  <si>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</si>
  <si>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</si>
  <si>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</si>
  <si>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</si>
  <si>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</si>
  <si>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</si>
  <si>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</si>
  <si>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</si>
  <si>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</si>
  <si>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</si>
  <si>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</si>
  <si>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</si>
  <si>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</si>
  <si>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</si>
  <si>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</si>
  <si>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</si>
  <si>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</si>
  <si>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</si>
  <si>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</si>
  <si>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</si>
  <si>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</si>
  <si>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</si>
  <si>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</si>
  <si>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</si>
  <si>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算数</t>
  </si>
  <si>
    <t>達成率</t>
  </si>
  <si>
    <t>ABC</t>
  </si>
  <si>
    <t>体育</t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</si>
  <si>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</si>
  <si>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</si>
  <si>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</si>
  <si>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</si>
  <si>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</si>
  <si>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</si>
  <si>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</si>
  <si>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</si>
  <si>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</si>
  <si>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</si>
  <si>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</si>
  <si>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</si>
  <si>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</si>
  <si>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</si>
  <si>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</si>
  <si>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</si>
  <si>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</si>
  <si>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※ 得点セルをダブルクリックで修正できます</t>
    <phoneticPr fontId="1"/>
  </si>
  <si>
    <t>追試</t>
    <rPh sb="0" eb="2">
      <t>ツイシ</t>
    </rPh>
    <phoneticPr fontId="1"/>
  </si>
  <si>
    <t>コード</t>
  </si>
  <si>
    <t>姓</t>
  </si>
  <si>
    <t>名</t>
  </si>
  <si>
    <t>在籍開始日</t>
  </si>
  <si>
    <t>在籍終了日</t>
  </si>
  <si>
    <t>【説明】</t>
    <rPh sb="1" eb="3">
      <t>セツメイ</t>
    </rPh>
    <phoneticPr fontId="1"/>
  </si>
  <si>
    <t>・番号順に姓と名を分けて、上から順に入力してください。</t>
    <rPh sb="1" eb="4">
      <t>バンゴウジュン</t>
    </rPh>
    <rPh sb="5" eb="6">
      <t>セイ</t>
    </rPh>
    <rPh sb="7" eb="8">
      <t>メイ</t>
    </rPh>
    <rPh sb="9" eb="10">
      <t>ワ</t>
    </rPh>
    <rPh sb="13" eb="14">
      <t>ウエ</t>
    </rPh>
    <rPh sb="16" eb="17">
      <t>ジュン</t>
    </rPh>
    <rPh sb="18" eb="20">
      <t>ニュウリョク</t>
    </rPh>
    <phoneticPr fontId="1"/>
  </si>
  <si>
    <t>・児童を識別するためにコードが必要となります。特にこだわりがない場合は、名前入力後、自動採番ボタンを押してください。</t>
    <rPh sb="1" eb="3">
      <t>ジドウ</t>
    </rPh>
    <rPh sb="4" eb="6">
      <t>シキベツ</t>
    </rPh>
    <rPh sb="15" eb="17">
      <t>ヒツヨウ</t>
    </rPh>
    <rPh sb="23" eb="24">
      <t>トク</t>
    </rPh>
    <rPh sb="32" eb="34">
      <t>バアイ</t>
    </rPh>
    <rPh sb="36" eb="41">
      <t>ナマエニュウリョクゴ</t>
    </rPh>
    <rPh sb="42" eb="46">
      <t>ジドウサイバン</t>
    </rPh>
    <rPh sb="50" eb="51">
      <t>オ</t>
    </rPh>
    <phoneticPr fontId="1"/>
  </si>
  <si>
    <t>・転学等でクラスの在籍が無くなった場合は、その日を在籍終了日に入力してください。</t>
    <rPh sb="1" eb="3">
      <t>テンガク</t>
    </rPh>
    <rPh sb="3" eb="4">
      <t>トウ</t>
    </rPh>
    <rPh sb="9" eb="11">
      <t>ザイセキ</t>
    </rPh>
    <rPh sb="12" eb="13">
      <t>ナ</t>
    </rPh>
    <rPh sb="17" eb="19">
      <t>バアイ</t>
    </rPh>
    <rPh sb="23" eb="24">
      <t>ヒ</t>
    </rPh>
    <rPh sb="25" eb="30">
      <t>ザイセキシュウリョウビ</t>
    </rPh>
    <rPh sb="31" eb="33">
      <t>ニュウリョク</t>
    </rPh>
    <phoneticPr fontId="1"/>
  </si>
  <si>
    <t>小テスト</t>
    <rPh sb="0" eb="1">
      <t>ショウ</t>
    </rPh>
    <phoneticPr fontId="1"/>
  </si>
  <si>
    <t>・在籍開始日を設定してください。</t>
    <rPh sb="1" eb="6">
      <t>ザイセキカイシビ</t>
    </rPh>
    <rPh sb="7" eb="9">
      <t>セッテイ</t>
    </rPh>
    <phoneticPr fontId="1"/>
  </si>
  <si>
    <t>入力チェック</t>
    <rPh sb="0" eb="2">
      <t>ニュウリョク</t>
    </rPh>
    <phoneticPr fontId="1"/>
  </si>
  <si>
    <t>実施したテストを入力する場合はこちら</t>
    <rPh sb="0" eb="2">
      <t>ジッシ</t>
    </rPh>
    <rPh sb="8" eb="10">
      <t>ニュウリョク</t>
    </rPh>
    <rPh sb="12" eb="14">
      <t>バアイ</t>
    </rPh>
    <phoneticPr fontId="1"/>
  </si>
  <si>
    <t>対象の追試シートを開くためには、その行をダブルクリックしてください。</t>
    <rPh sb="0" eb="2">
      <t>タイショウ</t>
    </rPh>
    <rPh sb="3" eb="5">
      <t>ツイシ</t>
    </rPh>
    <rPh sb="9" eb="10">
      <t>ヒラ</t>
    </rPh>
    <rPh sb="18" eb="19">
      <t>ギョウ</t>
    </rPh>
    <phoneticPr fontId="1"/>
  </si>
  <si>
    <t>表示</t>
    <phoneticPr fontId="1"/>
  </si>
  <si>
    <t>姓</t>
    <phoneticPr fontId="1"/>
  </si>
  <si>
    <t>名</t>
    <phoneticPr fontId="1"/>
  </si>
  <si>
    <t>道徳</t>
  </si>
  <si>
    <t>知技</t>
    <phoneticPr fontId="1"/>
  </si>
  <si>
    <t>思判表</t>
    <phoneticPr fontId="1"/>
  </si>
  <si>
    <t>主体的</t>
    <phoneticPr fontId="1"/>
  </si>
  <si>
    <t>３学期</t>
  </si>
  <si>
    <t>各教科や観点ごとに成績を集計・確認</t>
    <rPh sb="0" eb="3">
      <t>カクキョウカ</t>
    </rPh>
    <rPh sb="4" eb="6">
      <t>カンテン</t>
    </rPh>
    <rPh sb="9" eb="11">
      <t>セイセキ</t>
    </rPh>
    <rPh sb="12" eb="14">
      <t>シュウケイ</t>
    </rPh>
    <rPh sb="15" eb="17">
      <t>カクニン</t>
    </rPh>
    <phoneticPr fontId="1"/>
  </si>
  <si>
    <t>したい場合はこちら</t>
  </si>
  <si>
    <t>テスト</t>
  </si>
  <si>
    <t>太郎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</si>
  <si>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</si>
  <si>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</si>
  <si>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</si>
  <si>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</si>
  <si>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</si>
  <si>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</si>
  <si>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</si>
  <si>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</si>
  <si>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</si>
  <si>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</si>
  <si>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</si>
  <si>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</si>
  <si>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</si>
  <si>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</si>
  <si>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</si>
  <si>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</si>
  <si>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</si>
  <si>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</si>
  <si>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</si>
  <si>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</si>
  <si>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</si>
  <si>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</si>
  <si>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</si>
  <si>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</si>
  <si>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</si>
  <si>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</si>
  <si>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</si>
  <si>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</si>
  <si>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</si>
  <si>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</si>
  <si>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</si>
  <si>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</si>
  <si>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</si>
  <si>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</si>
  <si>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</si>
  <si>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</si>
  <si>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</si>
  <si>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</si>
  <si>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</si>
  <si>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</si>
  <si>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</si>
  <si>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</si>
  <si>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</si>
  <si>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</si>
  <si>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</si>
  <si>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</si>
  <si>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</si>
  <si>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J</t>
  </si>
  <si>
    <t>国語</t>
  </si>
  <si>
    <t>知技</t>
  </si>
  <si>
    <t>思判表</t>
  </si>
  <si>
    <t>主体的</t>
  </si>
  <si>
    <t>S</t>
  </si>
  <si>
    <t>社会</t>
  </si>
  <si>
    <t>M</t>
  </si>
  <si>
    <t>R</t>
  </si>
  <si>
    <t>理科</t>
  </si>
  <si>
    <t>L</t>
  </si>
  <si>
    <t>生活</t>
  </si>
  <si>
    <t>O</t>
  </si>
  <si>
    <t>音楽</t>
  </si>
  <si>
    <t>Z</t>
  </si>
  <si>
    <t>図画工作</t>
  </si>
  <si>
    <t>K</t>
  </si>
  <si>
    <t>家庭</t>
  </si>
  <si>
    <t>T</t>
  </si>
  <si>
    <t>E</t>
  </si>
  <si>
    <t>外国語</t>
  </si>
  <si>
    <t>D</t>
  </si>
  <si>
    <t>X</t>
  </si>
  <si>
    <t>特別活動</t>
  </si>
  <si>
    <t>G</t>
  </si>
  <si>
    <t>総合的な学習の時間</t>
  </si>
  <si>
    <t>-</t>
  </si>
  <si>
    <t>M001</t>
  </si>
  <si>
    <t>テスト算数単元１</t>
  </si>
  <si>
    <t>M002</t>
  </si>
  <si>
    <t>生活テスト１</t>
  </si>
  <si>
    <t>L001</t>
  </si>
  <si>
    <t>L002</t>
  </si>
  <si>
    <t>L003</t>
  </si>
  <si>
    <t>L004</t>
  </si>
  <si>
    <t>L005</t>
  </si>
  <si>
    <t>算数テスト２</t>
  </si>
  <si>
    <t>M003</t>
  </si>
  <si>
    <t>全員免除テスト</t>
  </si>
  <si>
    <t>J001</t>
  </si>
  <si>
    <t>有効</t>
    <phoneticPr fontId="1"/>
  </si>
  <si>
    <t>得点変換テスト</t>
  </si>
  <si>
    <t>平方根</t>
  </si>
  <si>
    <t>対数</t>
  </si>
  <si>
    <t>J002</t>
  </si>
  <si>
    <t>J003</t>
  </si>
  <si>
    <t>重み無し合計</t>
  </si>
  <si>
    <t>重み無し配点</t>
  </si>
  <si>
    <t>加重合計</t>
  </si>
  <si>
    <t>加重配点</t>
  </si>
  <si>
    <t>重み無し達成率</t>
  </si>
  <si>
    <t>加重達成率</t>
  </si>
  <si>
    <t>ABC閾値</t>
  </si>
  <si>
    <t>A/B</t>
  </si>
  <si>
    <t>B/C</t>
  </si>
  <si>
    <t>●</t>
  </si>
  <si>
    <t>候補</t>
  </si>
  <si>
    <t>A計</t>
  </si>
  <si>
    <t>B計</t>
  </si>
  <si>
    <t>C計</t>
  </si>
  <si>
    <t>最終決定</t>
  </si>
  <si>
    <t>複数得点調整処理テスト</t>
  </si>
  <si>
    <t>Z001</t>
  </si>
  <si>
    <t>Z002</t>
  </si>
  <si>
    <t>N</t>
  </si>
  <si>
    <t>★</t>
    <phoneticPr fontId="1"/>
  </si>
  <si>
    <t>採用</t>
    <phoneticPr fontId="1"/>
  </si>
  <si>
    <t>●</t>
    <phoneticPr fontId="1"/>
  </si>
  <si>
    <t>候補</t>
    <phoneticPr fontId="1"/>
  </si>
  <si>
    <t>A</t>
    <phoneticPr fontId="1"/>
  </si>
  <si>
    <t>B</t>
    <phoneticPr fontId="1"/>
  </si>
  <si>
    <t>C</t>
    <phoneticPr fontId="1"/>
  </si>
  <si>
    <t>B</t>
  </si>
  <si>
    <t>A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</si>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</sst>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0.0"/>
  </numFmts>
  <fonts count="3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b/>
      <sz val="20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9"/>
      <color rgb="FF000000"/>
      <name val="游ゴシック"/>
      <family val="3"/>
      <charset val="128"/>
      <scheme val="minor"/>
    </font>
    <font>
      <sz val="8"/>
      <color rgb="FF646464"/>
      <name val="游ゴシック"/>
      <family val="3"/>
      <charset val="128"/>
      <scheme val="minor"/>
    </font>
    <font>
      <sz val="9"/>
      <color rgb="FF505050"/>
      <name val="游ゴシック"/>
      <family val="3"/>
      <charset val="128"/>
      <scheme val="minor"/>
    </font>
    <font>
      <b/>
      <sz val="10"/>
      <color rgb="FFC864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539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CDE1EE"/>
        <bgColor indexed="64"/>
      </patternFill>
    </fill>
    <fill>
      <patternFill patternType="solid">
        <fgColor rgb="FFD7EEDB"/>
        <bgColor indexed="64"/>
      </patternFill>
    </fill>
    <fill>
      <patternFill patternType="solid">
        <fgColor rgb="FFFFE1D2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EEF8F0"/>
        <bgColor indexed="64"/>
      </patternFill>
    </fill>
    <fill>
      <patternFill patternType="solid">
        <fgColor rgb="FFFFF4EE"/>
        <bgColor indexed="64"/>
      </patternFill>
    </fill>
    <fill>
      <patternFill patternType="solid">
        <fgColor rgb="FFFDE4E3"/>
        <bgColor indexed="64"/>
      </patternFill>
    </fill>
    <fill>
      <patternFill patternType="solid">
        <fgColor rgb="FFE8DEEE"/>
        <bgColor indexed="64"/>
      </patternFill>
    </fill>
    <fill>
      <patternFill patternType="solid">
        <fgColor rgb="FFFFF0D7"/>
        <bgColor indexed="64"/>
      </patternFill>
    </fill>
    <fill>
      <patternFill patternType="solid">
        <fgColor rgb="FFD2EBEB"/>
        <bgColor indexed="64"/>
      </patternFill>
    </fill>
    <fill>
      <patternFill patternType="solid">
        <fgColor rgb="FFEEE1D7"/>
        <bgColor indexed="64"/>
      </patternFill>
    </fill>
    <fill>
      <patternFill patternType="solid">
        <fgColor rgb="FFE1EBD2"/>
        <bgColor indexed="64"/>
      </patternFill>
    </fill>
    <fill>
      <patternFill patternType="solid">
        <fgColor rgb="FFEBDCE6"/>
        <bgColor indexed="64"/>
      </patternFill>
    </fill>
    <fill>
      <patternFill patternType="solid">
        <fgColor rgb="FFFDF3F3"/>
        <bgColor indexed="64"/>
      </patternFill>
    </fill>
    <fill>
      <patternFill patternType="solid">
        <fgColor rgb="FFF5F0F8"/>
        <bgColor indexed="64"/>
      </patternFill>
    </fill>
    <fill>
      <patternFill patternType="solid">
        <fgColor rgb="FFFFFAEE"/>
        <bgColor indexed="64"/>
      </patternFill>
    </fill>
    <fill>
      <patternFill patternType="solid">
        <fgColor rgb="FFEEF8F8"/>
        <bgColor indexed="64"/>
      </patternFill>
    </fill>
    <fill>
      <patternFill patternType="solid">
        <fgColor rgb="FFF8F3EE"/>
        <bgColor indexed="64"/>
      </patternFill>
    </fill>
    <fill>
      <patternFill patternType="solid">
        <fgColor rgb="FFF3F8EB"/>
        <bgColor indexed="64"/>
      </patternFill>
    </fill>
    <fill>
      <patternFill patternType="solid">
        <fgColor rgb="FFF8F0F5"/>
        <bgColor indexed="64"/>
      </patternFill>
    </fill>
    <fill>
      <patternFill patternType="solid">
        <fgColor rgb="FFFF4778"/>
        <bgColor indexed="64"/>
      </patternFill>
    </fill>
    <fill>
      <patternFill patternType="solid">
        <fgColor rgb="FFFFE0B4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/>
      <right/>
      <top/>
      <bottom style="thin">
        <color rgb="FF1F497D"/>
      </bottom>
      <diagonal/>
    </border>
    <border>
      <left/>
      <right/>
      <top style="medium">
        <color rgb="FF646464"/>
      </top>
      <bottom/>
      <diagonal/>
    </border>
    <border>
      <left style="medium">
        <color rgb="FF646464"/>
      </left>
      <right/>
      <top style="medium">
        <color rgb="FF646464"/>
      </top>
      <bottom/>
      <diagonal/>
    </border>
    <border>
      <left style="medium">
        <color rgb="FF646464"/>
      </left>
      <right/>
      <top/>
      <bottom/>
      <diagonal/>
    </border>
    <border>
      <left/>
      <right style="medium">
        <color rgb="FF646464"/>
      </right>
      <top style="medium">
        <color rgb="FF646464"/>
      </top>
      <bottom/>
      <diagonal/>
    </border>
    <border>
      <left/>
      <right style="medium">
        <color rgb="FF646464"/>
      </right>
      <top/>
      <bottom/>
      <diagonal/>
    </border>
    <border>
      <left style="medium">
        <color rgb="FF646464"/>
      </left>
      <right/>
      <top style="medium">
        <color rgb="FF646464"/>
      </top>
      <bottom style="hair">
        <color rgb="FFC8C8C8"/>
      </bottom>
      <diagonal/>
    </border>
    <border>
      <left/>
      <right/>
      <top style="medium">
        <color rgb="FF646464"/>
      </top>
      <bottom style="hair">
        <color rgb="FFC8C8C8"/>
      </bottom>
      <diagonal/>
    </border>
    <border>
      <left/>
      <right style="medium">
        <color rgb="FF646464"/>
      </right>
      <top style="medium">
        <color rgb="FF646464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hair">
        <color rgb="FFC8C8C8"/>
      </bottom>
      <diagonal/>
    </border>
    <border>
      <left/>
      <right/>
      <top style="hair">
        <color rgb="FFC8C8C8"/>
      </top>
      <bottom style="hair">
        <color rgb="FFC8C8C8"/>
      </bottom>
      <diagonal/>
    </border>
    <border>
      <left/>
      <right style="medium">
        <color rgb="FF646464"/>
      </right>
      <top style="hair">
        <color rgb="FFC8C8C8"/>
      </top>
      <bottom style="hair">
        <color rgb="FFC8C8C8"/>
      </bottom>
      <diagonal/>
    </border>
    <border>
      <left style="medium">
        <color rgb="FF646464"/>
      </left>
      <right/>
      <top style="hair">
        <color rgb="FFC8C8C8"/>
      </top>
      <bottom style="medium">
        <color rgb="FF646464"/>
      </bottom>
      <diagonal/>
    </border>
    <border>
      <left/>
      <right/>
      <top style="hair">
        <color rgb="FFC8C8C8"/>
      </top>
      <bottom style="medium">
        <color rgb="FF646464"/>
      </bottom>
      <diagonal/>
    </border>
    <border>
      <left/>
      <right style="medium">
        <color rgb="FF646464"/>
      </right>
      <top style="hair">
        <color rgb="FFC8C8C8"/>
      </top>
      <bottom style="medium">
        <color rgb="FF646464"/>
      </bottom>
      <diagonal/>
    </border>
    <border>
      <left style="thin">
        <color rgb="FF969696"/>
      </left>
      <right/>
      <top style="medium">
        <color rgb="FF646464"/>
      </top>
      <bottom/>
      <diagonal/>
    </border>
    <border>
      <left style="thin">
        <color rgb="FF969696"/>
      </left>
      <right/>
      <top/>
      <bottom/>
      <diagonal/>
    </border>
    <border>
      <left style="thin">
        <color rgb="FF969696"/>
      </left>
      <right/>
      <top style="medium">
        <color rgb="FF646464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hair">
        <color rgb="FFC8C8C8"/>
      </bottom>
      <diagonal/>
    </border>
    <border>
      <left style="thin">
        <color rgb="FF969696"/>
      </left>
      <right/>
      <top style="hair">
        <color rgb="FFC8C8C8"/>
      </top>
      <bottom style="medium">
        <color rgb="FF646464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259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0" borderId="0" xfId="1" applyFont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0" borderId="0" xfId="1" applyFont="1" applyAlignment="1">
      <alignment horizontal="center" vertical="center" wrapText="1" shrinkToFit="1"/>
    </xf>
    <xf numFmtId="0" fontId="10" fillId="0" borderId="0" xfId="1" applyFont="1" applyAlignment="1">
      <alignment horizontal="right" vertical="center"/>
    </xf>
    <xf numFmtId="0" fontId="5" fillId="0" borderId="26" xfId="1" applyBorder="1" applyAlignment="1">
      <alignment horizont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30" xfId="0" applyFont="1" applyFill="1" applyBorder="1" applyAlignment="1">
      <alignment horizontal="center" vertical="center"/>
    </xf>
    <xf numFmtId="0" fontId="16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7" fillId="9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0" fillId="12" borderId="0" xfId="0" applyFont="1" applyFill="1">
      <alignment vertical="center"/>
    </xf>
    <xf numFmtId="0" fontId="20" fillId="12" borderId="0" xfId="0" applyFont="1" applyFill="1" applyAlignment="1">
      <alignment horizontal="right" vertical="center"/>
    </xf>
    <xf numFmtId="0" fontId="22" fillId="12" borderId="0" xfId="0" applyFont="1" applyFill="1">
      <alignment vertical="center"/>
    </xf>
    <xf numFmtId="0" fontId="20" fillId="12" borderId="0" xfId="0" applyFont="1" applyFill="1" applyAlignment="1">
      <alignment vertical="center" textRotation="255"/>
    </xf>
    <xf numFmtId="0" fontId="20" fillId="12" borderId="31" xfId="0" applyFont="1" applyFill="1" applyBorder="1">
      <alignment vertical="center"/>
    </xf>
    <xf numFmtId="0" fontId="20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19" fillId="13" borderId="0" xfId="0" applyFont="1" applyFill="1">
      <alignment vertical="center"/>
    </xf>
    <xf numFmtId="0" fontId="19" fillId="0" borderId="0" xfId="0" applyFont="1">
      <alignment vertical="center"/>
    </xf>
    <xf numFmtId="14" fontId="13" fillId="0" borderId="0" xfId="0" applyNumberFormat="1" applyFont="1">
      <alignment vertical="center"/>
    </xf>
    <xf numFmtId="0" fontId="21" fillId="11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14" fontId="13" fillId="0" borderId="0" xfId="0" applyNumberFormat="1" applyFont="1" applyProtection="1">
      <alignment vertical="center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8" fillId="5" borderId="1" xfId="1" applyFont="1" applyFill="1" applyBorder="1" applyAlignment="1" applyProtection="1">
      <alignment shrinkToFit="1"/>
      <protection locked="0"/>
    </xf>
    <xf numFmtId="14" fontId="8" fillId="5" borderId="1" xfId="1" applyNumberFormat="1" applyFont="1" applyFill="1" applyBorder="1" applyAlignment="1" applyProtection="1">
      <alignment horizontal="center"/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 wrapText="1" shrinkToFit="1"/>
      <protection locked="0"/>
    </xf>
    <xf numFmtId="0" fontId="8" fillId="5" borderId="1" xfId="1" applyFont="1" applyFill="1" applyBorder="1" applyAlignment="1" applyProtection="1">
      <alignment horizontal="center" vertical="center" wrapText="1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1" applyProtection="1">
      <protection locked="0"/>
    </xf>
    <xf numFmtId="0" fontId="5" fillId="0" borderId="0" xfId="1" applyAlignment="1" applyProtection="1">
      <alignment horizontal="center"/>
      <protection locked="0"/>
    </xf>
    <xf numFmtId="0" fontId="5" fillId="15" borderId="0" xfId="1" applyFill="1"/>
    <xf numFmtId="0" fontId="5" fillId="15" borderId="0" xfId="1" applyFill="1" applyAlignment="1">
      <alignment horizontal="left"/>
    </xf>
    <xf numFmtId="0" fontId="6" fillId="15" borderId="0" xfId="1" applyFont="1" applyFill="1" applyAlignment="1">
      <alignment horizontal="left"/>
    </xf>
    <xf numFmtId="0" fontId="8" fillId="15" borderId="0" xfId="1" applyFont="1" applyFill="1"/>
    <xf numFmtId="0" fontId="8" fillId="15" borderId="0" xfId="1" applyFont="1" applyFill="1" applyAlignment="1">
      <alignment horizontal="left"/>
    </xf>
    <xf numFmtId="0" fontId="9" fillId="15" borderId="0" xfId="1" applyFont="1" applyFill="1" applyAlignment="1">
      <alignment horizontal="right"/>
    </xf>
    <xf numFmtId="0" fontId="5" fillId="15" borderId="0" xfId="1" applyFill="1" applyAlignment="1">
      <alignment horizontal="right"/>
    </xf>
    <xf numFmtId="0" fontId="8" fillId="15" borderId="26" xfId="1" applyFont="1" applyFill="1" applyBorder="1"/>
    <xf numFmtId="0" fontId="12" fillId="15" borderId="26" xfId="1" applyFont="1" applyFill="1" applyBorder="1" applyAlignment="1">
      <alignment horizontal="center" vertical="center"/>
    </xf>
    <xf numFmtId="0" fontId="8" fillId="15" borderId="0" xfId="1" applyFont="1" applyFill="1" applyAlignment="1">
      <alignment horizontal="center"/>
    </xf>
    <xf numFmtId="0" fontId="5" fillId="15" borderId="0" xfId="1" applyFill="1" applyAlignment="1">
      <alignment horizontal="center"/>
    </xf>
    <xf numFmtId="0" fontId="8" fillId="15" borderId="0" xfId="1" applyFont="1" applyFill="1" applyAlignment="1">
      <alignment horizontal="center" shrinkToFit="1"/>
    </xf>
    <xf numFmtId="0" fontId="11" fillId="15" borderId="0" xfId="1" applyFont="1" applyFill="1" applyAlignment="1">
      <alignment horizontal="center"/>
    </xf>
    <xf numFmtId="0" fontId="13" fillId="15" borderId="0" xfId="1" applyFont="1" applyFill="1" applyAlignment="1">
      <alignment horizontal="center"/>
    </xf>
    <xf numFmtId="0" fontId="10" fillId="15" borderId="0" xfId="1" applyFont="1" applyFill="1" applyAlignment="1">
      <alignment horizontal="left"/>
    </xf>
    <xf numFmtId="0" fontId="8" fillId="15" borderId="26" xfId="1" applyFont="1" applyFill="1" applyBorder="1" applyAlignment="1">
      <alignment horizontal="center"/>
    </xf>
    <xf numFmtId="0" fontId="5" fillId="15" borderId="0" xfId="1" applyFill="1" applyAlignment="1">
      <alignment horizontal="center" vertical="center"/>
    </xf>
    <xf numFmtId="0" fontId="8" fillId="15" borderId="0" xfId="1" applyFont="1" applyFill="1" applyAlignment="1" applyProtection="1">
      <alignment horizontal="center"/>
      <protection locked="0"/>
    </xf>
    <xf numFmtId="0" fontId="0" fillId="9" borderId="0" xfId="0" applyFill="1">
      <alignment vertical="center"/>
    </xf>
    <xf numFmtId="0" fontId="23" fillId="9" borderId="0" xfId="0" applyFont="1" applyFill="1">
      <alignment vertical="center"/>
    </xf>
    <xf numFmtId="0" fontId="24" fillId="9" borderId="0" xfId="0" applyFont="1" applyFill="1">
      <alignment vertical="center"/>
    </xf>
    <xf numFmtId="0" fontId="24" fillId="0" borderId="0" xfId="0" applyFont="1">
      <alignment vertical="center"/>
    </xf>
    <xf numFmtId="0" fontId="17" fillId="9" borderId="0" xfId="0" applyFont="1" applyFill="1" applyProtection="1">
      <alignment vertical="center"/>
      <protection locked="0"/>
    </xf>
    <xf numFmtId="0" fontId="13" fillId="9" borderId="0" xfId="0" applyFont="1" applyFill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0" fontId="20" fillId="14" borderId="0" xfId="0" applyFont="1" applyFill="1" applyProtection="1">
      <alignment vertical="center"/>
      <protection locked="0"/>
    </xf>
    <xf numFmtId="0" fontId="20" fillId="14" borderId="0" xfId="0" applyFont="1" applyFill="1" applyAlignment="1" applyProtection="1">
      <alignment horizontal="right" vertical="center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20" fillId="14" borderId="32" xfId="0" applyFont="1" applyFill="1" applyBorder="1" applyProtection="1">
      <alignment vertical="center"/>
      <protection locked="0"/>
    </xf>
    <xf numFmtId="0" fontId="20" fillId="14" borderId="32" xfId="0" applyFont="1" applyFill="1" applyBorder="1" applyAlignment="1" applyProtection="1">
      <alignment horizontal="right" vertical="center"/>
      <protection locked="0"/>
    </xf>
    <xf numFmtId="0" fontId="20" fillId="12" borderId="0" xfId="0" applyFont="1" applyFill="1" applyProtection="1">
      <alignment vertical="center"/>
      <protection locked="0"/>
    </xf>
    <xf numFmtId="0" fontId="20" fillId="12" borderId="0" xfId="0" applyFont="1" applyFill="1" applyAlignment="1" applyProtection="1">
      <alignment horizontal="right" vertical="center"/>
      <protection locked="0"/>
    </xf>
    <xf numFmtId="0" fontId="13" fillId="0" borderId="0" xfId="1" applyFont="1" applyProtection="1">
      <protection locked="0"/>
    </xf>
    <xf numFmtId="0" fontId="13" fillId="15" borderId="0" xfId="0" applyFont="1" applyFill="1" applyProtection="1">
      <alignment vertical="center"/>
      <protection locked="0"/>
    </xf>
    <xf numFmtId="0" fontId="18" fillId="15" borderId="0" xfId="0" applyFont="1" applyFill="1" applyProtection="1">
      <alignment vertical="center"/>
      <protection locked="0"/>
    </xf>
    <xf numFmtId="0" fontId="13" fillId="15" borderId="0" xfId="0" applyFont="1" applyFill="1" applyAlignment="1" applyProtection="1">
      <alignment vertical="center" shrinkToFit="1"/>
      <protection locked="0"/>
    </xf>
    <xf numFmtId="0" fontId="13" fillId="0" borderId="28" xfId="0" applyFont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20" fillId="12" borderId="32" xfId="0" applyFont="1" applyFill="1" applyBorder="1" applyProtection="1">
      <alignment vertical="center"/>
      <protection locked="0"/>
    </xf>
    <xf numFmtId="0" fontId="20" fillId="12" borderId="32" xfId="0" applyFont="1" applyFill="1" applyBorder="1" applyAlignment="1" applyProtection="1">
      <alignment horizontal="right" vertical="center"/>
      <protection locked="0"/>
    </xf>
    <xf numFmtId="0" fontId="20" fillId="11" borderId="0" xfId="0" applyFont="1" applyFill="1" applyProtection="1">
      <alignment vertical="center"/>
      <protection locked="0"/>
    </xf>
    <xf numFmtId="0" fontId="20" fillId="11" borderId="0" xfId="0" applyFont="1" applyFill="1" applyAlignment="1" applyProtection="1">
      <alignment horizontal="right" vertical="center"/>
      <protection locked="0"/>
    </xf>
    <xf numFmtId="0" fontId="20" fillId="11" borderId="31" xfId="0" applyFont="1" applyFill="1" applyBorder="1" applyAlignment="1" applyProtection="1">
      <alignment horizontal="right" vertical="center"/>
      <protection locked="0"/>
    </xf>
    <xf numFmtId="0" fontId="20" fillId="11" borderId="31" xfId="0" applyFont="1" applyFill="1" applyBorder="1" applyProtection="1">
      <alignment vertical="center"/>
      <protection locked="0"/>
    </xf>
    <xf numFmtId="0" fontId="31" fillId="16" borderId="33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 shrinkToFit="1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 shrinkToFit="1"/>
    </xf>
    <xf numFmtId="0" fontId="25" fillId="19" borderId="38" xfId="0" applyFont="1" applyFill="1" applyBorder="1" applyAlignment="1">
      <alignment horizontal="center" vertical="center"/>
    </xf>
    <xf numFmtId="0" fontId="25" fillId="19" borderId="39" xfId="0" applyFont="1" applyFill="1" applyBorder="1" applyAlignment="1">
      <alignment horizontal="left" vertical="center"/>
    </xf>
    <xf numFmtId="0" fontId="25" fillId="19" borderId="40" xfId="0" applyFont="1" applyFill="1" applyBorder="1" applyAlignment="1">
      <alignment horizontal="left" vertical="center"/>
    </xf>
    <xf numFmtId="0" fontId="25" fillId="19" borderId="41" xfId="0" applyFont="1" applyFill="1" applyBorder="1" applyAlignment="1">
      <alignment horizontal="center" vertical="center"/>
    </xf>
    <xf numFmtId="0" fontId="25" fillId="19" borderId="42" xfId="0" applyFont="1" applyFill="1" applyBorder="1" applyAlignment="1">
      <alignment horizontal="left" vertical="center"/>
    </xf>
    <xf numFmtId="0" fontId="25" fillId="19" borderId="43" xfId="0" applyFont="1" applyFill="1" applyBorder="1" applyAlignment="1">
      <alignment horizontal="left" vertical="center"/>
    </xf>
    <xf numFmtId="0" fontId="25" fillId="19" borderId="44" xfId="0" applyFont="1" applyFill="1" applyBorder="1" applyAlignment="1">
      <alignment horizontal="center" vertical="center"/>
    </xf>
    <xf numFmtId="0" fontId="25" fillId="19" borderId="45" xfId="0" applyFont="1" applyFill="1" applyBorder="1" applyAlignment="1">
      <alignment horizontal="left" vertical="center"/>
    </xf>
    <xf numFmtId="0" fontId="25" fillId="19" borderId="46" xfId="0" applyFont="1" applyFill="1" applyBorder="1" applyAlignment="1">
      <alignment horizontal="left" vertical="center"/>
    </xf>
    <xf numFmtId="0" fontId="25" fillId="0" borderId="28" xfId="0" applyFont="1" applyBorder="1" applyProtection="1">
      <alignment vertical="center"/>
      <protection locked="0"/>
    </xf>
    <xf numFmtId="0" fontId="25" fillId="0" borderId="0" xfId="0" applyFont="1" applyProtection="1">
      <alignment vertical="center"/>
      <protection locked="0"/>
    </xf>
    <xf numFmtId="177" fontId="35" fillId="23" borderId="42" xfId="0" applyNumberFormat="1" applyFont="1" applyFill="1" applyBorder="1" applyAlignment="1">
      <alignment horizontal="center" vertical="center"/>
    </xf>
    <xf numFmtId="177" fontId="35" fillId="24" borderId="42" xfId="0" applyNumberFormat="1" applyFont="1" applyFill="1" applyBorder="1" applyAlignment="1">
      <alignment horizontal="center" vertical="center"/>
    </xf>
    <xf numFmtId="177" fontId="35" fillId="25" borderId="42" xfId="0" applyNumberFormat="1" applyFont="1" applyFill="1" applyBorder="1" applyAlignment="1">
      <alignment horizontal="center" vertical="center"/>
    </xf>
    <xf numFmtId="177" fontId="35" fillId="23" borderId="45" xfId="0" applyNumberFormat="1" applyFont="1" applyFill="1" applyBorder="1" applyAlignment="1">
      <alignment horizontal="center" vertical="center"/>
    </xf>
    <xf numFmtId="177" fontId="35" fillId="24" borderId="45" xfId="0" applyNumberFormat="1" applyFont="1" applyFill="1" applyBorder="1" applyAlignment="1">
      <alignment horizontal="center" vertical="center"/>
    </xf>
    <xf numFmtId="177" fontId="35" fillId="25" borderId="45" xfId="0" applyNumberFormat="1" applyFont="1" applyFill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/>
    </xf>
    <xf numFmtId="0" fontId="34" fillId="18" borderId="48" xfId="0" applyFont="1" applyFill="1" applyBorder="1" applyAlignment="1">
      <alignment horizontal="center" vertical="center"/>
    </xf>
    <xf numFmtId="0" fontId="0" fillId="3" borderId="0" xfId="0" applyFill="1" applyProtection="1">
      <alignment vertical="center"/>
      <protection locked="0"/>
    </xf>
    <xf numFmtId="0" fontId="30" fillId="0" borderId="0" xfId="0" applyFont="1" applyAlignment="1">
      <alignment vertical="center" shrinkToFit="1"/>
    </xf>
    <xf numFmtId="0" fontId="30" fillId="0" borderId="0" xfId="0" applyFont="1">
      <alignment vertical="center"/>
    </xf>
    <xf numFmtId="0" fontId="33" fillId="20" borderId="0" xfId="0" applyFont="1" applyFill="1" applyAlignment="1">
      <alignment horizontal="center" vertical="center"/>
    </xf>
    <xf numFmtId="0" fontId="34" fillId="18" borderId="0" xfId="0" applyFont="1" applyFill="1" applyAlignment="1">
      <alignment horizontal="center" vertical="center"/>
    </xf>
    <xf numFmtId="0" fontId="31" fillId="16" borderId="0" xfId="0" applyFont="1" applyFill="1" applyAlignment="1">
      <alignment horizontal="center" vertical="center" shrinkToFit="1"/>
    </xf>
    <xf numFmtId="177" fontId="35" fillId="0" borderId="39" xfId="0" applyNumberFormat="1" applyFont="1" applyBorder="1" applyAlignment="1">
      <alignment horizontal="center" vertical="center"/>
    </xf>
    <xf numFmtId="177" fontId="35" fillId="0" borderId="40" xfId="0" applyNumberFormat="1" applyFont="1" applyBorder="1" applyAlignment="1">
      <alignment horizontal="center" vertical="center"/>
    </xf>
    <xf numFmtId="177" fontId="35" fillId="0" borderId="42" xfId="0" applyNumberFormat="1" applyFont="1" applyBorder="1" applyAlignment="1">
      <alignment horizontal="center" vertical="center"/>
    </xf>
    <xf numFmtId="177" fontId="35" fillId="0" borderId="43" xfId="0" applyNumberFormat="1" applyFont="1" applyBorder="1" applyAlignment="1">
      <alignment horizontal="center" vertical="center"/>
    </xf>
    <xf numFmtId="0" fontId="30" fillId="0" borderId="47" xfId="0" applyFont="1" applyBorder="1">
      <alignment vertical="center"/>
    </xf>
    <xf numFmtId="0" fontId="32" fillId="0" borderId="49" xfId="0" applyFont="1" applyBorder="1" applyAlignment="1">
      <alignment horizontal="center" vertical="center"/>
    </xf>
    <xf numFmtId="0" fontId="32" fillId="0" borderId="50" xfId="0" applyFont="1" applyBorder="1" applyAlignment="1">
      <alignment horizontal="center" vertical="center"/>
    </xf>
    <xf numFmtId="0" fontId="32" fillId="0" borderId="51" xfId="0" applyFont="1" applyBorder="1" applyAlignment="1">
      <alignment horizontal="center" vertical="center"/>
    </xf>
    <xf numFmtId="0" fontId="33" fillId="21" borderId="0" xfId="0" applyFont="1" applyFill="1" applyAlignment="1">
      <alignment horizontal="center" vertical="center"/>
    </xf>
    <xf numFmtId="0" fontId="33" fillId="22" borderId="0" xfId="0" applyFont="1" applyFill="1" applyAlignment="1">
      <alignment horizontal="center" vertical="center"/>
    </xf>
    <xf numFmtId="0" fontId="33" fillId="26" borderId="0" xfId="0" applyFont="1" applyFill="1" applyAlignment="1">
      <alignment horizontal="center" vertical="center"/>
    </xf>
    <xf numFmtId="0" fontId="33" fillId="27" borderId="0" xfId="0" applyFont="1" applyFill="1" applyAlignment="1">
      <alignment horizontal="center" vertical="center"/>
    </xf>
    <xf numFmtId="0" fontId="33" fillId="28" borderId="0" xfId="0" applyFont="1" applyFill="1" applyAlignment="1">
      <alignment horizontal="center" vertical="center"/>
    </xf>
    <xf numFmtId="0" fontId="33" fillId="17" borderId="0" xfId="0" applyFont="1" applyFill="1" applyAlignment="1">
      <alignment horizontal="center" vertical="center" shrinkToFit="1"/>
    </xf>
    <xf numFmtId="0" fontId="33" fillId="29" borderId="0" xfId="0" applyFont="1" applyFill="1" applyAlignment="1">
      <alignment horizontal="center" vertical="center" shrinkToFit="1"/>
    </xf>
    <xf numFmtId="0" fontId="33" fillId="30" borderId="0" xfId="0" applyFont="1" applyFill="1" applyAlignment="1">
      <alignment horizontal="center" vertical="center" shrinkToFit="1"/>
    </xf>
    <xf numFmtId="0" fontId="33" fillId="31" borderId="0" xfId="0" applyFont="1" applyFill="1" applyAlignment="1">
      <alignment horizontal="center" vertical="center" shrinkToFit="1"/>
    </xf>
    <xf numFmtId="0" fontId="33" fillId="32" borderId="0" xfId="0" applyFont="1" applyFill="1" applyAlignment="1">
      <alignment horizontal="center" vertical="center" shrinkToFit="1"/>
    </xf>
    <xf numFmtId="0" fontId="34" fillId="18" borderId="0" xfId="0" applyFont="1" applyFill="1" applyAlignment="1">
      <alignment horizontal="center" vertical="center" shrinkToFit="1"/>
    </xf>
    <xf numFmtId="0" fontId="33" fillId="17" borderId="37" xfId="0" applyFont="1" applyFill="1" applyBorder="1" applyAlignment="1">
      <alignment horizontal="center" vertical="center" shrinkToFit="1"/>
    </xf>
    <xf numFmtId="0" fontId="34" fillId="18" borderId="37" xfId="0" applyFont="1" applyFill="1" applyBorder="1" applyAlignment="1">
      <alignment horizontal="center" vertical="center" shrinkToFit="1"/>
    </xf>
    <xf numFmtId="177" fontId="35" fillId="33" borderId="42" xfId="0" applyNumberFormat="1" applyFont="1" applyFill="1" applyBorder="1" applyAlignment="1">
      <alignment horizontal="center" vertical="center"/>
    </xf>
    <xf numFmtId="177" fontId="35" fillId="34" borderId="42" xfId="0" applyNumberFormat="1" applyFont="1" applyFill="1" applyBorder="1" applyAlignment="1">
      <alignment horizontal="center" vertical="center"/>
    </xf>
    <xf numFmtId="177" fontId="35" fillId="35" borderId="42" xfId="0" applyNumberFormat="1" applyFont="1" applyFill="1" applyBorder="1" applyAlignment="1">
      <alignment horizontal="center" vertical="center"/>
    </xf>
    <xf numFmtId="177" fontId="35" fillId="36" borderId="42" xfId="0" applyNumberFormat="1" applyFont="1" applyFill="1" applyBorder="1" applyAlignment="1">
      <alignment horizontal="center" vertical="center"/>
    </xf>
    <xf numFmtId="177" fontId="35" fillId="37" borderId="42" xfId="0" applyNumberFormat="1" applyFont="1" applyFill="1" applyBorder="1" applyAlignment="1">
      <alignment horizontal="center" vertical="center"/>
    </xf>
    <xf numFmtId="177" fontId="35" fillId="38" borderId="42" xfId="0" applyNumberFormat="1" applyFont="1" applyFill="1" applyBorder="1" applyAlignment="1">
      <alignment horizontal="center" vertical="center"/>
    </xf>
    <xf numFmtId="177" fontId="35" fillId="39" borderId="42" xfId="0" applyNumberFormat="1" applyFont="1" applyFill="1" applyBorder="1" applyAlignment="1">
      <alignment horizontal="center" vertical="center"/>
    </xf>
    <xf numFmtId="177" fontId="35" fillId="33" borderId="45" xfId="0" applyNumberFormat="1" applyFont="1" applyFill="1" applyBorder="1" applyAlignment="1">
      <alignment horizontal="center" vertical="center"/>
    </xf>
    <xf numFmtId="177" fontId="35" fillId="34" borderId="45" xfId="0" applyNumberFormat="1" applyFont="1" applyFill="1" applyBorder="1" applyAlignment="1">
      <alignment horizontal="center" vertical="center"/>
    </xf>
    <xf numFmtId="177" fontId="35" fillId="35" borderId="45" xfId="0" applyNumberFormat="1" applyFont="1" applyFill="1" applyBorder="1" applyAlignment="1">
      <alignment horizontal="center" vertical="center"/>
    </xf>
    <xf numFmtId="177" fontId="35" fillId="36" borderId="45" xfId="0" applyNumberFormat="1" applyFont="1" applyFill="1" applyBorder="1" applyAlignment="1">
      <alignment horizontal="center" vertical="center"/>
    </xf>
    <xf numFmtId="177" fontId="35" fillId="37" borderId="45" xfId="0" applyNumberFormat="1" applyFont="1" applyFill="1" applyBorder="1" applyAlignment="1">
      <alignment horizontal="center" vertical="center"/>
    </xf>
    <xf numFmtId="177" fontId="35" fillId="38" borderId="45" xfId="0" applyNumberFormat="1" applyFont="1" applyFill="1" applyBorder="1" applyAlignment="1">
      <alignment horizontal="center" vertical="center"/>
    </xf>
    <xf numFmtId="177" fontId="35" fillId="39" borderId="45" xfId="0" applyNumberFormat="1" applyFont="1" applyFill="1" applyBorder="1" applyAlignment="1">
      <alignment horizontal="center" vertical="center"/>
    </xf>
    <xf numFmtId="177" fontId="35" fillId="0" borderId="45" xfId="0" applyNumberFormat="1" applyFont="1" applyBorder="1" applyAlignment="1">
      <alignment horizontal="center" vertical="center"/>
    </xf>
    <xf numFmtId="177" fontId="35" fillId="0" borderId="46" xfId="0" applyNumberFormat="1" applyFont="1" applyBorder="1" applyAlignment="1">
      <alignment horizontal="center" vertical="center"/>
    </xf>
    <xf numFmtId="0" fontId="33" fillId="17" borderId="48" xfId="0" applyFont="1" applyFill="1" applyBorder="1" applyAlignment="1">
      <alignment horizontal="center" vertical="center" shrinkToFit="1"/>
    </xf>
    <xf numFmtId="0" fontId="34" fillId="18" borderId="48" xfId="0" applyFont="1" applyFill="1" applyBorder="1" applyAlignment="1">
      <alignment horizontal="center" vertical="center" shrinkToFit="1"/>
    </xf>
    <xf numFmtId="0" fontId="10" fillId="6" borderId="1" xfId="1" applyFont="1" applyFill="1" applyBorder="1" applyAlignment="1" applyProtection="1">
      <alignment horizontal="center" vertical="center" wrapText="1" shrinkToFit="1"/>
      <protection locked="0"/>
    </xf>
    <xf numFmtId="0" fontId="10" fillId="8" borderId="1" xfId="1" applyFont="1" applyFill="1" applyBorder="1" applyAlignment="1" applyProtection="1">
      <alignment horizontal="center" vertical="center" wrapText="1" shrinkToFit="1"/>
      <protection locked="0"/>
    </xf>
    <xf numFmtId="0" fontId="8" fillId="8" borderId="1" xfId="1" applyFont="1" applyFill="1" applyBorder="1" applyAlignment="1" applyProtection="1">
      <alignment horizontal="center" vertical="center"/>
      <protection locked="0"/>
    </xf>
    <xf numFmtId="0" fontId="8" fillId="8" borderId="1" xfId="1" applyFont="1" applyFill="1" applyBorder="1" applyAlignment="1" applyProtection="1">
      <alignment horizontal="center"/>
      <protection locked="0"/>
    </xf>
    <xf numFmtId="0" fontId="10" fillId="7" borderId="1" xfId="1" applyFont="1" applyFill="1" applyBorder="1" applyAlignment="1" applyProtection="1">
      <alignment horizontal="center" vertical="center" wrapText="1" shrinkToFit="1"/>
      <protection locked="0"/>
    </xf>
    <xf numFmtId="0" fontId="13" fillId="0" borderId="29" xfId="0" applyFont="1" applyBorder="1">
      <alignment vertical="center"/>
    </xf>
    <xf numFmtId="0" fontId="13" fillId="11" borderId="29" xfId="0" applyFont="1" applyFill="1" applyBorder="1" applyProtection="1">
      <alignment vertical="center"/>
      <protection locked="0"/>
    </xf>
    <xf numFmtId="0" fontId="21" fillId="11" borderId="0" xfId="0" applyFont="1" applyFill="1" applyProtection="1">
      <alignment vertical="center"/>
      <protection locked="0"/>
    </xf>
    <xf numFmtId="0" fontId="8" fillId="0" borderId="1" xfId="1" applyFont="1" applyBorder="1" applyAlignment="1">
      <alignment horizontal="center" vertical="center" wrapText="1" shrinkToFit="1"/>
    </xf>
    <xf numFmtId="0" fontId="13" fillId="40" borderId="0" xfId="0" applyFont="1" applyFill="1" applyAlignment="1" applyProtection="1">
      <alignment vertical="center" shrinkToFit="1"/>
      <protection locked="0"/>
    </xf>
    <xf numFmtId="176" fontId="13" fillId="40" borderId="0" xfId="0" applyNumberFormat="1" applyFont="1" applyFill="1" applyAlignment="1" applyProtection="1">
      <alignment vertical="center" shrinkToFit="1"/>
      <protection locked="0"/>
    </xf>
    <xf numFmtId="0" fontId="13" fillId="40" borderId="0" xfId="0" applyFont="1" applyFill="1" applyProtection="1">
      <alignment vertical="center"/>
      <protection locked="0"/>
    </xf>
    <xf numFmtId="0" fontId="13" fillId="40" borderId="0" xfId="0" applyFont="1" applyFill="1" applyAlignment="1" applyProtection="1">
      <alignment vertical="center" textRotation="255" shrinkToFit="1"/>
      <protection locked="0"/>
    </xf>
    <xf numFmtId="0" fontId="8" fillId="5" borderId="1" xfId="1" applyFont="1" applyFill="1" applyBorder="1" applyAlignment="1" applyProtection="1">
      <alignment horizontal="center" vertical="center"/>
      <protection locked="0"/>
    </xf>
    <xf numFmtId="0" fontId="31" fillId="16" borderId="34" xfId="0" applyFont="1" applyFill="1" applyBorder="1" applyAlignment="1">
      <alignment horizontal="center" vertical="center"/>
    </xf>
    <xf numFmtId="0" fontId="31" fillId="16" borderId="35" xfId="0" applyFont="1" applyFill="1" applyBorder="1" applyAlignment="1">
      <alignment horizontal="center" vertical="center"/>
    </xf>
    <xf numFmtId="0" fontId="31" fillId="16" borderId="33" xfId="0" applyFont="1" applyFill="1" applyBorder="1" applyAlignment="1">
      <alignment horizontal="center" vertical="center"/>
    </xf>
    <xf numFmtId="0" fontId="31" fillId="16" borderId="0" xfId="0" applyFont="1" applyFill="1" applyAlignment="1">
      <alignment horizontal="center" vertical="center"/>
    </xf>
    <xf numFmtId="0" fontId="31" fillId="16" borderId="36" xfId="0" applyFont="1" applyFill="1" applyBorder="1" applyAlignment="1">
      <alignment horizontal="center" vertical="center"/>
    </xf>
    <xf numFmtId="0" fontId="31" fillId="16" borderId="37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28" xfId="0" applyFont="1" applyBorder="1" applyProtection="1">
      <alignment vertical="center"/>
    </xf>
    <xf numFmtId="0" fontId="36" fillId="41" borderId="28" xfId="0" applyFont="1" applyFill="1" applyBorder="1" applyProtection="1">
      <alignment vertical="center"/>
    </xf>
    <xf numFmtId="0" fontId="13" fillId="0" borderId="0" xfId="0" applyFont="1" applyProtection="1">
      <alignment vertical="center"/>
    </xf>
    <xf numFmtId="0" fontId="36" fillId="41" borderId="0" xfId="0" applyFont="1" applyFill="1" applyProtection="1">
      <alignment vertical="center"/>
    </xf>
    <xf numFmtId="0" fontId="13" fillId="41" borderId="0" xfId="0" applyFont="1" applyFill="1" applyProtection="1">
      <alignment vertical="center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</cellXfs>
  <cellStyles count="2">
    <cellStyle name="標準" xfId="0" builtinId="0"/>
    <cellStyle name="標準 2" xfId="1" xr:uid="{400476B9-6F9E-4B9B-BA13-859D55D6414B}"/>
  </cellStyles>
  <dxfs count="10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numFmt numFmtId="19" formatCode="yyyy/m/d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1F497D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比較分析!$F$15:$F$54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比較分析!$K$15:$K$54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比較分析!$H$8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M$12" lockText="1"/>
</file>

<file path=xl/ctrlProps/ctrlProp10.xml><?xml version="1.0" encoding="utf-8"?>
<formControlPr xmlns="http://schemas.microsoft.com/office/spreadsheetml/2009/9/main" objectType="CheckBox" checked="Checked" fmlaLink="$M$14" lockText="1"/>
</file>

<file path=xl/ctrlProps/ctrlProp11.xml><?xml version="1.0" encoding="utf-8"?>
<formControlPr xmlns="http://schemas.microsoft.com/office/spreadsheetml/2009/9/main" objectType="CheckBox" checked="Checked" fmlaLink="$M$16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$M$10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6</xdr:row>
          <xdr:rowOff>142875</xdr:rowOff>
        </xdr:from>
        <xdr:to>
          <xdr:col>9</xdr:col>
          <xdr:colOff>619125</xdr:colOff>
          <xdr:row>8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104775</xdr:rowOff>
        </xdr:from>
        <xdr:to>
          <xdr:col>1</xdr:col>
          <xdr:colOff>914400</xdr:colOff>
          <xdr:row>5</xdr:row>
          <xdr:rowOff>104775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19050</xdr:rowOff>
        </xdr:from>
        <xdr:to>
          <xdr:col>1</xdr:col>
          <xdr:colOff>914400</xdr:colOff>
          <xdr:row>7</xdr:row>
          <xdr:rowOff>180975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47625</xdr:rowOff>
        </xdr:from>
        <xdr:to>
          <xdr:col>1</xdr:col>
          <xdr:colOff>933450</xdr:colOff>
          <xdr:row>3</xdr:row>
          <xdr:rowOff>9525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238125</xdr:rowOff>
        </xdr:from>
        <xdr:to>
          <xdr:col>1</xdr:col>
          <xdr:colOff>647700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自動採番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9525</xdr:rowOff>
        </xdr:from>
        <xdr:to>
          <xdr:col>5</xdr:col>
          <xdr:colOff>9525</xdr:colOff>
          <xdr:row>8</xdr:row>
          <xdr:rowOff>200025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9</xdr:col>
          <xdr:colOff>152400</xdr:colOff>
          <xdr:row>1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初期設定ウィザード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7</xdr:row>
          <xdr:rowOff>28575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8</xdr:row>
          <xdr:rowOff>38100</xdr:rowOff>
        </xdr:from>
        <xdr:to>
          <xdr:col>9</xdr:col>
          <xdr:colOff>409575</xdr:colOff>
          <xdr:row>10</xdr:row>
          <xdr:rowOff>19050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457200</xdr:colOff>
          <xdr:row>7</xdr:row>
          <xdr:rowOff>19050</xdr:rowOff>
        </xdr:from>
        <xdr:to>
          <xdr:col>10</xdr:col>
          <xdr:colOff>9525</xdr:colOff>
          <xdr:row>9</xdr:row>
          <xdr:rowOff>9525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10</xdr:row>
          <xdr:rowOff>28575</xdr:rowOff>
        </xdr:from>
        <xdr:to>
          <xdr:col>9</xdr:col>
          <xdr:colOff>409575</xdr:colOff>
          <xdr:row>12</xdr:row>
          <xdr:rowOff>9525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9525</xdr:rowOff>
        </xdr:from>
        <xdr:to>
          <xdr:col>3</xdr:col>
          <xdr:colOff>0</xdr:colOff>
          <xdr:row>29</xdr:row>
          <xdr:rowOff>219075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在籍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9525</xdr:colOff>
          <xdr:row>5</xdr:row>
          <xdr:rowOff>28575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38100</xdr:rowOff>
        </xdr:from>
        <xdr:to>
          <xdr:col>1</xdr:col>
          <xdr:colOff>9525</xdr:colOff>
          <xdr:row>6</xdr:row>
          <xdr:rowOff>66675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9525</xdr:rowOff>
        </xdr:from>
        <xdr:to>
          <xdr:col>4</xdr:col>
          <xdr:colOff>495300</xdr:colOff>
          <xdr:row>1</xdr:row>
          <xdr:rowOff>190500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0</xdr:colOff>
          <xdr:row>6</xdr:row>
          <xdr:rowOff>219075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統計行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37" name="perspective1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知技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38" name="perspective2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思判表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39" name="perspective3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主体的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40" name="perspective4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41" name="perspective5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perspective5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42" name="Update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追加/更新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43" name="Ope_result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評価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44" name="Delete_Sh_Subject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</xdr:row>
          <xdr:rowOff>0</xdr:rowOff>
        </xdr:from>
        <xdr:to>
          <xdr:col>1</xdr:col>
          <xdr:colOff>752475</xdr:colOff>
          <xdr:row>3</xdr:row>
          <xdr:rowOff>9525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テスト選択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2143125</xdr:colOff>
          <xdr:row>0</xdr:row>
          <xdr:rowOff>9525</xdr:rowOff>
        </xdr:from>
        <xdr:to>
          <xdr:col>7</xdr:col>
          <xdr:colOff>0</xdr:colOff>
          <xdr:row>1</xdr:row>
          <xdr:rowOff>19050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5C0289-4BA8-4381-B988-115BF01A1BA2}" name="テーブル1" displayName="テーブル1" ref="B10:F50" totalsRowShown="0" headerRowDxfId="9" dataDxfId="8">
  <autoFilter ref="B10:F50" xr:uid="{395C0289-4BA8-4381-B988-115BF01A1BA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05CD077-0236-4A23-BF37-14A11B59E765}" name="コード" dataDxfId="7"/>
    <tableColumn id="2" xr3:uid="{F7E8E662-33B4-47A9-9359-85A24514C7E8}" name="姓" dataDxfId="6"/>
    <tableColumn id="3" xr3:uid="{3110AD64-18BF-4922-AE07-7459F82450A1}" name="名" dataDxfId="5"/>
    <tableColumn id="4" xr3:uid="{0FD6DF6B-FE62-4B6A-861B-43BE6D5EEE0A}" name="在籍開始日" dataDxfId="4"/>
    <tableColumn id="5" xr3:uid="{9FD53C1F-0F95-4BDF-BCAB-94D5AF50A2E3}" name="在籍終了日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5" Type="http://schemas.openxmlformats.org/officeDocument/2006/relationships/ctrlProp" Target="../ctrlProps/ctrlProp2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14"/>
  <sheetViews>
    <sheetView workbookViewId="0">
      <selection activeCell="I11" sqref="I11"/>
    </sheetView>
  </sheetViews>
  <sheetFormatPr defaultColWidth="9" defaultRowHeight="16.5" x14ac:dyDescent="0.4"/>
  <cols>
    <col min="1" max="1" width="3.625" style="74" customWidth="1"/>
    <col min="2" max="2" width="12.625" style="74" customWidth="1"/>
    <col min="3" max="5" width="8.625" style="74" customWidth="1"/>
    <col min="6" max="6" width="10.625" style="74" customWidth="1"/>
    <col min="7" max="7" width="18.625" style="74" customWidth="1"/>
    <col min="8" max="8" width="12.625" style="74" customWidth="1"/>
    <col min="9" max="9" width="8.625" style="81" customWidth="1"/>
    <col min="10" max="10" width="8.625" style="74" customWidth="1"/>
    <col min="11" max="12" width="0" style="74" hidden="1" customWidth="1"/>
    <col min="13" max="16384" width="9" style="74"/>
  </cols>
  <sheetData>
    <row r="1" spans="1:13" ht="25.5" x14ac:dyDescent="0.4">
      <c r="A1" s="76" t="s">
        <v>43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</row>
    <row r="2" spans="1:13" x14ac:dyDescent="0.4">
      <c r="I2" s="74"/>
    </row>
    <row r="3" spans="1:13" x14ac:dyDescent="0.4">
      <c r="C3" s="74" t="str">
        <f>IF(COUNTA(Setting!B3:B20)&gt;0,"設定済（"&amp;COUNTA(Setting!B3:B20)&amp;"教科）","未設定")</f>
        <v>設定済（13教科）</v>
      </c>
      <c r="H3" s="74" t="str">
        <f>IF(OR(COUNTIF(名簿!H11:H50,"NG")&gt;0,COUNTA(名簿!C11:C50)=0),"未入力項目あり","OK")</f>
        <v>OK</v>
      </c>
      <c r="I3" s="74" t="str">
        <f>IF(H3="OK","","最初に名簿の登録が必要です。登録してください。")</f>
        <v/>
      </c>
    </row>
    <row r="4" spans="1:13" x14ac:dyDescent="0.4">
      <c r="I4" s="74"/>
    </row>
    <row r="5" spans="1:13" x14ac:dyDescent="0.4">
      <c r="C5" s="74" t="s">
        <v>118</v>
      </c>
      <c r="I5" s="74"/>
    </row>
    <row r="6" spans="1:13" x14ac:dyDescent="0.4">
      <c r="I6" s="74"/>
    </row>
    <row r="7" spans="1:13" x14ac:dyDescent="0.4">
      <c r="C7" s="74" t="s">
        <v>128</v>
      </c>
      <c r="I7" s="74"/>
    </row>
    <row r="8" spans="1:13" x14ac:dyDescent="0.4">
      <c r="C8" s="74" t="s">
        <v>129</v>
      </c>
      <c r="I8" s="74"/>
    </row>
    <row r="9" spans="1:13" ht="17.25" thickBot="1" x14ac:dyDescent="0.45"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</row>
    <row r="10" spans="1:13" x14ac:dyDescent="0.4">
      <c r="B10" s="78" t="s">
        <v>87</v>
      </c>
      <c r="C10" s="78" t="s">
        <v>70</v>
      </c>
      <c r="D10" s="78" t="s">
        <v>71</v>
      </c>
      <c r="E10" s="78" t="s">
        <v>0</v>
      </c>
      <c r="F10" s="78" t="s">
        <v>2</v>
      </c>
      <c r="G10" s="78" t="s">
        <v>76</v>
      </c>
      <c r="H10" s="78" t="s">
        <v>61</v>
      </c>
      <c r="I10" s="79" t="s">
        <v>77</v>
      </c>
      <c r="J10" s="78" t="s">
        <v>3</v>
      </c>
      <c r="K10" s="78" t="s">
        <v>78</v>
      </c>
      <c r="L10" s="78" t="s">
        <v>79</v>
      </c>
    </row>
    <row r="11" spans="1:13" x14ac:dyDescent="0.4">
      <c r="B11" s="232">
        <v>10010003</v>
      </c>
      <c r="C11" s="232" t="s">
        <v>136</v>
      </c>
      <c r="D11" s="232" t="s">
        <v>137</v>
      </c>
      <c r="E11" s="232" t="s">
        <v>190</v>
      </c>
      <c r="F11" s="232" t="s">
        <v>182</v>
      </c>
      <c r="G11" s="232" t="s">
        <v>209</v>
      </c>
      <c r="H11" s="232"/>
      <c r="I11" s="233"/>
      <c r="J11" s="232">
        <v>100</v>
      </c>
      <c r="K11" s="232">
        <v>25</v>
      </c>
      <c r="L11" s="232">
        <v>7</v>
      </c>
    </row>
    <row r="12" spans="1:13" x14ac:dyDescent="0.4">
      <c r="B12" s="232">
        <v>10010009</v>
      </c>
      <c r="C12" s="232" t="s">
        <v>145</v>
      </c>
      <c r="D12" s="232" t="s">
        <v>146</v>
      </c>
      <c r="E12" s="232" t="s">
        <v>190</v>
      </c>
      <c r="F12" s="232" t="s">
        <v>182</v>
      </c>
      <c r="G12" s="232" t="s">
        <v>209</v>
      </c>
      <c r="H12" s="232"/>
      <c r="I12" s="233"/>
      <c r="J12" s="232">
        <v>100</v>
      </c>
      <c r="K12" s="232">
        <v>31</v>
      </c>
      <c r="L12" s="232">
        <v>7</v>
      </c>
    </row>
    <row r="13" spans="1:13" x14ac:dyDescent="0.4">
      <c r="B13" s="232">
        <v>10010009</v>
      </c>
      <c r="C13" s="232" t="s">
        <v>145</v>
      </c>
      <c r="D13" s="232" t="s">
        <v>146</v>
      </c>
      <c r="E13" s="232" t="s">
        <v>190</v>
      </c>
      <c r="F13" s="232" t="s">
        <v>181</v>
      </c>
      <c r="G13" s="232" t="s">
        <v>209</v>
      </c>
      <c r="H13" s="232"/>
      <c r="I13" s="233"/>
      <c r="J13" s="232">
        <v>100</v>
      </c>
      <c r="K13" s="232">
        <v>31</v>
      </c>
      <c r="L13" s="232">
        <v>9</v>
      </c>
    </row>
    <row r="14" spans="1:13" x14ac:dyDescent="0.4">
      <c r="B14" s="232">
        <v>10010010</v>
      </c>
      <c r="C14" s="232" t="s">
        <v>147</v>
      </c>
      <c r="D14" s="232" t="s">
        <v>148</v>
      </c>
      <c r="E14" s="232" t="s">
        <v>190</v>
      </c>
      <c r="F14" s="232" t="s">
        <v>181</v>
      </c>
      <c r="G14" s="232" t="s">
        <v>209</v>
      </c>
      <c r="H14" s="232"/>
      <c r="I14" s="233"/>
      <c r="J14" s="232">
        <v>100</v>
      </c>
      <c r="K14" s="232">
        <v>32</v>
      </c>
      <c r="L14" s="232">
        <v>9</v>
      </c>
    </row>
  </sheetData>
  <sheetProtection algorithmName="SHA-512" hashValue="Z/lSKFiEFTqn45ivepK36bq9ZcPPZAQZQkUJG+tQuztRIoEBy+ZIyijkUoY708/BfKkHJUV8uvMS1VmxXuMnhA==" saltValue="jjpyWv0gYP4AqlIb9ZwfNQ==" spinCount="100000" sheet="1" object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19050</xdr:colOff>
                    <xdr:row>6</xdr:row>
                    <xdr:rowOff>142875</xdr:rowOff>
                  </from>
                  <to>
                    <xdr:col>9</xdr:col>
                    <xdr:colOff>619125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0</xdr:col>
                    <xdr:colOff>123825</xdr:colOff>
                    <xdr:row>3</xdr:row>
                    <xdr:rowOff>104775</xdr:rowOff>
                  </from>
                  <to>
                    <xdr:col>1</xdr:col>
                    <xdr:colOff>914400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0</xdr:col>
                    <xdr:colOff>114300</xdr:colOff>
                    <xdr:row>6</xdr:row>
                    <xdr:rowOff>19050</xdr:rowOff>
                  </from>
                  <to>
                    <xdr:col>1</xdr:col>
                    <xdr:colOff>914400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ShowSetupForm">
                <anchor moveWithCells="1" sizeWithCells="1">
                  <from>
                    <xdr:col>0</xdr:col>
                    <xdr:colOff>161925</xdr:colOff>
                    <xdr:row>1</xdr:row>
                    <xdr:rowOff>47625</xdr:rowOff>
                  </from>
                  <to>
                    <xdr:col>1</xdr:col>
                    <xdr:colOff>933450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H79"/>
  <sheetViews>
    <sheetView workbookViewId="0">
      <selection activeCell="C41" sqref="C41"/>
    </sheetView>
  </sheetViews>
  <sheetFormatPr defaultColWidth="9" defaultRowHeight="16.5" x14ac:dyDescent="0.4"/>
  <cols>
    <col min="1" max="1" width="6.5" style="74" customWidth="1"/>
    <col min="2" max="3" width="8.625" style="74" customWidth="1"/>
    <col min="4" max="4" width="9" style="74"/>
    <col min="5" max="5" width="11" style="74" customWidth="1"/>
    <col min="6" max="6" width="10.875" style="74" customWidth="1"/>
    <col min="7" max="7" width="2.375" style="74" customWidth="1"/>
    <col min="8" max="16384" width="9" style="74"/>
  </cols>
  <sheetData>
    <row r="1" spans="1:8" ht="24" x14ac:dyDescent="0.4">
      <c r="A1" s="87" t="s">
        <v>72</v>
      </c>
      <c r="B1" s="75"/>
      <c r="C1" s="75"/>
      <c r="D1" s="75"/>
      <c r="E1" s="75"/>
      <c r="F1" s="75"/>
    </row>
    <row r="2" spans="1:8" x14ac:dyDescent="0.4">
      <c r="A2" s="74" t="s">
        <v>111</v>
      </c>
    </row>
    <row r="3" spans="1:8" x14ac:dyDescent="0.4">
      <c r="A3" s="74" t="s">
        <v>112</v>
      </c>
    </row>
    <row r="4" spans="1:8" x14ac:dyDescent="0.4">
      <c r="A4" s="74" t="s">
        <v>113</v>
      </c>
    </row>
    <row r="5" spans="1:8" x14ac:dyDescent="0.4">
      <c r="A5" s="74" t="s">
        <v>116</v>
      </c>
    </row>
    <row r="6" spans="1:8" x14ac:dyDescent="0.4">
      <c r="A6" s="74" t="s">
        <v>114</v>
      </c>
    </row>
    <row r="8" spans="1:8" ht="19.5" x14ac:dyDescent="0.4">
      <c r="E8" s="98" t="s">
        <v>73</v>
      </c>
      <c r="F8" s="100">
        <f>COUNTA($B$11:$B$79)</f>
        <v>30</v>
      </c>
    </row>
    <row r="10" spans="1:8" x14ac:dyDescent="0.4">
      <c r="A10" s="101"/>
      <c r="B10" s="102" t="s">
        <v>106</v>
      </c>
      <c r="C10" s="102" t="s">
        <v>107</v>
      </c>
      <c r="D10" s="102" t="s">
        <v>108</v>
      </c>
      <c r="E10" s="102" t="s">
        <v>109</v>
      </c>
      <c r="F10" s="102" t="s">
        <v>110</v>
      </c>
      <c r="H10" s="74" t="s">
        <v>117</v>
      </c>
    </row>
    <row r="11" spans="1:8" x14ac:dyDescent="0.4">
      <c r="B11" s="81">
        <v>10010001</v>
      </c>
      <c r="C11" s="81" t="s">
        <v>132</v>
      </c>
      <c r="D11" s="81" t="s">
        <v>133</v>
      </c>
      <c r="E11" s="103">
        <v>45748</v>
      </c>
      <c r="F11" s="103">
        <v>46091</v>
      </c>
      <c r="H11" s="74" t="str">
        <f>IF(テーブル1[[#This Row],[姓]]="","",IF(AND(テーブル1[[#This Row],[コード]]&lt;&gt;"",テーブル1[[#This Row],[在籍開始日]]&lt;&gt;""),"OK","NG"))</f>
        <v>OK</v>
      </c>
    </row>
    <row r="12" spans="1:8" x14ac:dyDescent="0.4">
      <c r="B12" s="81">
        <v>10010002</v>
      </c>
      <c r="C12" s="81" t="s">
        <v>134</v>
      </c>
      <c r="D12" s="81" t="s">
        <v>135</v>
      </c>
      <c r="E12" s="103">
        <v>45748</v>
      </c>
      <c r="F12" s="103"/>
      <c r="H12" s="74" t="str">
        <f>IF(テーブル1[[#This Row],[姓]]="","",IF(AND(テーブル1[[#This Row],[コード]]&lt;&gt;"",テーブル1[[#This Row],[在籍開始日]]&lt;&gt;""),"OK","NG"))</f>
        <v>OK</v>
      </c>
    </row>
    <row r="13" spans="1:8" x14ac:dyDescent="0.4">
      <c r="B13" s="81">
        <v>10010003</v>
      </c>
      <c r="C13" s="81" t="s">
        <v>136</v>
      </c>
      <c r="D13" s="81" t="s">
        <v>137</v>
      </c>
      <c r="E13" s="103">
        <v>45748</v>
      </c>
      <c r="F13" s="81"/>
      <c r="H13" s="74" t="str">
        <f>IF(テーブル1[[#This Row],[姓]]="","",IF(AND(テーブル1[[#This Row],[コード]]&lt;&gt;"",テーブル1[[#This Row],[在籍開始日]]&lt;&gt;""),"OK","NG"))</f>
        <v>OK</v>
      </c>
    </row>
    <row r="14" spans="1:8" x14ac:dyDescent="0.4">
      <c r="B14" s="81">
        <v>10010004</v>
      </c>
      <c r="C14" s="81" t="s">
        <v>138</v>
      </c>
      <c r="D14" s="81" t="s">
        <v>139</v>
      </c>
      <c r="E14" s="103">
        <v>45748</v>
      </c>
      <c r="F14" s="81"/>
      <c r="H14" s="74" t="str">
        <f>IF(テーブル1[[#This Row],[姓]]="","",IF(AND(テーブル1[[#This Row],[コード]]&lt;&gt;"",テーブル1[[#This Row],[在籍開始日]]&lt;&gt;""),"OK","NG"))</f>
        <v>OK</v>
      </c>
    </row>
    <row r="15" spans="1:8" x14ac:dyDescent="0.4">
      <c r="B15" s="81">
        <v>10010005</v>
      </c>
      <c r="C15" s="81" t="s">
        <v>140</v>
      </c>
      <c r="D15" s="81" t="s">
        <v>137</v>
      </c>
      <c r="E15" s="103">
        <v>45748</v>
      </c>
      <c r="F15" s="81"/>
      <c r="H15" s="74" t="str">
        <f>IF(テーブル1[[#This Row],[姓]]="","",IF(AND(テーブル1[[#This Row],[コード]]&lt;&gt;"",テーブル1[[#This Row],[在籍開始日]]&lt;&gt;""),"OK","NG"))</f>
        <v>OK</v>
      </c>
    </row>
    <row r="16" spans="1:8" x14ac:dyDescent="0.4">
      <c r="B16" s="81">
        <v>10010006</v>
      </c>
      <c r="C16" s="81" t="s">
        <v>141</v>
      </c>
      <c r="D16" s="81" t="s">
        <v>135</v>
      </c>
      <c r="E16" s="103">
        <v>45748</v>
      </c>
      <c r="F16" s="81"/>
      <c r="H16" s="74" t="str">
        <f>IF(テーブル1[[#This Row],[姓]]="","",IF(AND(テーブル1[[#This Row],[コード]]&lt;&gt;"",テーブル1[[#This Row],[在籍開始日]]&lt;&gt;""),"OK","NG"))</f>
        <v>OK</v>
      </c>
    </row>
    <row r="17" spans="2:8" x14ac:dyDescent="0.4">
      <c r="B17" s="81">
        <v>10010007</v>
      </c>
      <c r="C17" s="81" t="s">
        <v>142</v>
      </c>
      <c r="D17" s="81" t="s">
        <v>131</v>
      </c>
      <c r="E17" s="103">
        <v>45748</v>
      </c>
      <c r="F17" s="81"/>
      <c r="H17" s="74" t="str">
        <f>IF(テーブル1[[#This Row],[姓]]="","",IF(AND(テーブル1[[#This Row],[コード]]&lt;&gt;"",テーブル1[[#This Row],[在籍開始日]]&lt;&gt;""),"OK","NG"))</f>
        <v>OK</v>
      </c>
    </row>
    <row r="18" spans="2:8" x14ac:dyDescent="0.4">
      <c r="B18" s="81">
        <v>10010008</v>
      </c>
      <c r="C18" s="81" t="s">
        <v>143</v>
      </c>
      <c r="D18" s="81" t="s">
        <v>144</v>
      </c>
      <c r="E18" s="103">
        <v>45748</v>
      </c>
      <c r="F18" s="81"/>
      <c r="H18" s="74" t="str">
        <f>IF(テーブル1[[#This Row],[姓]]="","",IF(AND(テーブル1[[#This Row],[コード]]&lt;&gt;"",テーブル1[[#This Row],[在籍開始日]]&lt;&gt;""),"OK","NG"))</f>
        <v>OK</v>
      </c>
    </row>
    <row r="19" spans="2:8" x14ac:dyDescent="0.4">
      <c r="B19" s="81">
        <v>10010009</v>
      </c>
      <c r="C19" s="81" t="s">
        <v>145</v>
      </c>
      <c r="D19" s="81" t="s">
        <v>146</v>
      </c>
      <c r="E19" s="103">
        <v>45748</v>
      </c>
      <c r="F19" s="81"/>
      <c r="H19" s="74" t="str">
        <f>IF(テーブル1[[#This Row],[姓]]="","",IF(AND(テーブル1[[#This Row],[コード]]&lt;&gt;"",テーブル1[[#This Row],[在籍開始日]]&lt;&gt;""),"OK","NG"))</f>
        <v>OK</v>
      </c>
    </row>
    <row r="20" spans="2:8" x14ac:dyDescent="0.4">
      <c r="B20" s="81">
        <v>10010010</v>
      </c>
      <c r="C20" s="81" t="s">
        <v>147</v>
      </c>
      <c r="D20" s="81" t="s">
        <v>148</v>
      </c>
      <c r="E20" s="103">
        <v>45748</v>
      </c>
      <c r="F20" s="81"/>
      <c r="H20" s="74" t="str">
        <f>IF(テーブル1[[#This Row],[姓]]="","",IF(AND(テーブル1[[#This Row],[コード]]&lt;&gt;"",テーブル1[[#This Row],[在籍開始日]]&lt;&gt;""),"OK","NG"))</f>
        <v>OK</v>
      </c>
    </row>
    <row r="21" spans="2:8" x14ac:dyDescent="0.4">
      <c r="B21" s="81">
        <v>10010011</v>
      </c>
      <c r="C21" s="81" t="s">
        <v>149</v>
      </c>
      <c r="D21" s="81" t="s">
        <v>150</v>
      </c>
      <c r="E21" s="103">
        <v>45748</v>
      </c>
      <c r="F21" s="81"/>
      <c r="H21" s="74" t="str">
        <f>IF(テーブル1[[#This Row],[姓]]="","",IF(AND(テーブル1[[#This Row],[コード]]&lt;&gt;"",テーブル1[[#This Row],[在籍開始日]]&lt;&gt;""),"OK","NG"))</f>
        <v>OK</v>
      </c>
    </row>
    <row r="22" spans="2:8" x14ac:dyDescent="0.4">
      <c r="B22" s="81">
        <v>10010012</v>
      </c>
      <c r="C22" s="81" t="s">
        <v>151</v>
      </c>
      <c r="D22" s="81" t="s">
        <v>152</v>
      </c>
      <c r="E22" s="103">
        <v>45748</v>
      </c>
      <c r="F22" s="81"/>
      <c r="H22" s="74" t="str">
        <f>IF(テーブル1[[#This Row],[姓]]="","",IF(AND(テーブル1[[#This Row],[コード]]&lt;&gt;"",テーブル1[[#This Row],[在籍開始日]]&lt;&gt;""),"OK","NG"))</f>
        <v>OK</v>
      </c>
    </row>
    <row r="23" spans="2:8" x14ac:dyDescent="0.4">
      <c r="B23" s="81">
        <v>10010013</v>
      </c>
      <c r="C23" s="81" t="s">
        <v>153</v>
      </c>
      <c r="D23" s="81" t="s">
        <v>146</v>
      </c>
      <c r="E23" s="103">
        <v>45748</v>
      </c>
      <c r="F23" s="81"/>
      <c r="H23" s="74" t="str">
        <f>IF(テーブル1[[#This Row],[姓]]="","",IF(AND(テーブル1[[#This Row],[コード]]&lt;&gt;"",テーブル1[[#This Row],[在籍開始日]]&lt;&gt;""),"OK","NG"))</f>
        <v>OK</v>
      </c>
    </row>
    <row r="24" spans="2:8" x14ac:dyDescent="0.4">
      <c r="B24" s="81">
        <v>10010014</v>
      </c>
      <c r="C24" s="81" t="s">
        <v>154</v>
      </c>
      <c r="D24" s="81" t="s">
        <v>155</v>
      </c>
      <c r="E24" s="103">
        <v>45748</v>
      </c>
      <c r="F24" s="81"/>
      <c r="H24" s="74" t="str">
        <f>IF(テーブル1[[#This Row],[姓]]="","",IF(AND(テーブル1[[#This Row],[コード]]&lt;&gt;"",テーブル1[[#This Row],[在籍開始日]]&lt;&gt;""),"OK","NG"))</f>
        <v>OK</v>
      </c>
    </row>
    <row r="25" spans="2:8" x14ac:dyDescent="0.4">
      <c r="B25" s="81">
        <v>10010015</v>
      </c>
      <c r="C25" s="81" t="s">
        <v>156</v>
      </c>
      <c r="D25" s="81" t="s">
        <v>146</v>
      </c>
      <c r="E25" s="103">
        <v>45748</v>
      </c>
      <c r="F25" s="81"/>
      <c r="H25" s="74" t="str">
        <f>IF(テーブル1[[#This Row],[姓]]="","",IF(AND(テーブル1[[#This Row],[コード]]&lt;&gt;"",テーブル1[[#This Row],[在籍開始日]]&lt;&gt;""),"OK","NG"))</f>
        <v>OK</v>
      </c>
    </row>
    <row r="26" spans="2:8" x14ac:dyDescent="0.4">
      <c r="B26" s="81">
        <v>10010016</v>
      </c>
      <c r="C26" s="81" t="s">
        <v>157</v>
      </c>
      <c r="D26" s="81" t="s">
        <v>155</v>
      </c>
      <c r="E26" s="103">
        <v>45748</v>
      </c>
      <c r="F26" s="81"/>
      <c r="H26" s="74" t="str">
        <f>IF(テーブル1[[#This Row],[姓]]="","",IF(AND(テーブル1[[#This Row],[コード]]&lt;&gt;"",テーブル1[[#This Row],[在籍開始日]]&lt;&gt;""),"OK","NG"))</f>
        <v>OK</v>
      </c>
    </row>
    <row r="27" spans="2:8" x14ac:dyDescent="0.4">
      <c r="B27" s="81">
        <v>10010017</v>
      </c>
      <c r="C27" s="81" t="s">
        <v>158</v>
      </c>
      <c r="D27" s="81" t="s">
        <v>159</v>
      </c>
      <c r="E27" s="103">
        <v>45748</v>
      </c>
      <c r="F27" s="81"/>
      <c r="H27" s="74" t="str">
        <f>IF(テーブル1[[#This Row],[姓]]="","",IF(AND(テーブル1[[#This Row],[コード]]&lt;&gt;"",テーブル1[[#This Row],[在籍開始日]]&lt;&gt;""),"OK","NG"))</f>
        <v>OK</v>
      </c>
    </row>
    <row r="28" spans="2:8" x14ac:dyDescent="0.4">
      <c r="B28" s="81">
        <v>10010018</v>
      </c>
      <c r="C28" s="81" t="s">
        <v>160</v>
      </c>
      <c r="D28" s="81" t="s">
        <v>135</v>
      </c>
      <c r="E28" s="103">
        <v>45748</v>
      </c>
      <c r="F28" s="81"/>
      <c r="H28" s="74" t="str">
        <f>IF(テーブル1[[#This Row],[姓]]="","",IF(AND(テーブル1[[#This Row],[コード]]&lt;&gt;"",テーブル1[[#This Row],[在籍開始日]]&lt;&gt;""),"OK","NG"))</f>
        <v>OK</v>
      </c>
    </row>
    <row r="29" spans="2:8" x14ac:dyDescent="0.4">
      <c r="B29" s="81">
        <v>10010019</v>
      </c>
      <c r="C29" s="81" t="s">
        <v>161</v>
      </c>
      <c r="D29" s="81" t="s">
        <v>162</v>
      </c>
      <c r="E29" s="103">
        <v>45748</v>
      </c>
      <c r="F29" s="81"/>
      <c r="H29" s="74" t="str">
        <f>IF(テーブル1[[#This Row],[姓]]="","",IF(AND(テーブル1[[#This Row],[コード]]&lt;&gt;"",テーブル1[[#This Row],[在籍開始日]]&lt;&gt;""),"OK","NG"))</f>
        <v>OK</v>
      </c>
    </row>
    <row r="30" spans="2:8" x14ac:dyDescent="0.4">
      <c r="B30" s="81">
        <v>10010020</v>
      </c>
      <c r="C30" s="81" t="s">
        <v>163</v>
      </c>
      <c r="D30" s="81" t="s">
        <v>155</v>
      </c>
      <c r="E30" s="103">
        <v>45748</v>
      </c>
      <c r="F30" s="81"/>
      <c r="H30" s="74" t="str">
        <f>IF(テーブル1[[#This Row],[姓]]="","",IF(AND(テーブル1[[#This Row],[コード]]&lt;&gt;"",テーブル1[[#This Row],[在籍開始日]]&lt;&gt;""),"OK","NG"))</f>
        <v>OK</v>
      </c>
    </row>
    <row r="31" spans="2:8" x14ac:dyDescent="0.4">
      <c r="B31" s="81">
        <v>10010021</v>
      </c>
      <c r="C31" s="81" t="s">
        <v>164</v>
      </c>
      <c r="D31" s="81" t="s">
        <v>165</v>
      </c>
      <c r="E31" s="103">
        <v>45748</v>
      </c>
      <c r="F31" s="81"/>
      <c r="H31" s="74" t="str">
        <f>IF(テーブル1[[#This Row],[姓]]="","",IF(AND(テーブル1[[#This Row],[コード]]&lt;&gt;"",テーブル1[[#This Row],[在籍開始日]]&lt;&gt;""),"OK","NG"))</f>
        <v>OK</v>
      </c>
    </row>
    <row r="32" spans="2:8" x14ac:dyDescent="0.4">
      <c r="B32" s="81">
        <v>10010022</v>
      </c>
      <c r="C32" s="81" t="s">
        <v>166</v>
      </c>
      <c r="D32" s="81" t="s">
        <v>135</v>
      </c>
      <c r="E32" s="103">
        <v>45748</v>
      </c>
      <c r="F32" s="81"/>
      <c r="H32" s="74" t="str">
        <f>IF(テーブル1[[#This Row],[姓]]="","",IF(AND(テーブル1[[#This Row],[コード]]&lt;&gt;"",テーブル1[[#This Row],[在籍開始日]]&lt;&gt;""),"OK","NG"))</f>
        <v>OK</v>
      </c>
    </row>
    <row r="33" spans="2:8" x14ac:dyDescent="0.4">
      <c r="B33" s="81">
        <v>10010023</v>
      </c>
      <c r="C33" s="81" t="s">
        <v>167</v>
      </c>
      <c r="D33" s="81" t="s">
        <v>168</v>
      </c>
      <c r="E33" s="103">
        <v>45748</v>
      </c>
      <c r="F33" s="81"/>
      <c r="H33" s="74" t="str">
        <f>IF(テーブル1[[#This Row],[姓]]="","",IF(AND(テーブル1[[#This Row],[コード]]&lt;&gt;"",テーブル1[[#This Row],[在籍開始日]]&lt;&gt;""),"OK","NG"))</f>
        <v>OK</v>
      </c>
    </row>
    <row r="34" spans="2:8" x14ac:dyDescent="0.4">
      <c r="B34" s="81">
        <v>10010024</v>
      </c>
      <c r="C34" s="81" t="s">
        <v>169</v>
      </c>
      <c r="D34" s="81" t="s">
        <v>152</v>
      </c>
      <c r="E34" s="103">
        <v>45748</v>
      </c>
      <c r="F34" s="81"/>
      <c r="H34" s="74" t="str">
        <f>IF(テーブル1[[#This Row],[姓]]="","",IF(AND(テーブル1[[#This Row],[コード]]&lt;&gt;"",テーブル1[[#This Row],[在籍開始日]]&lt;&gt;""),"OK","NG"))</f>
        <v>OK</v>
      </c>
    </row>
    <row r="35" spans="2:8" x14ac:dyDescent="0.4">
      <c r="B35" s="81">
        <v>10010025</v>
      </c>
      <c r="C35" s="81" t="s">
        <v>170</v>
      </c>
      <c r="D35" s="81" t="s">
        <v>171</v>
      </c>
      <c r="E35" s="103">
        <v>45748</v>
      </c>
      <c r="F35" s="81"/>
      <c r="H35" s="74" t="str">
        <f>IF(テーブル1[[#This Row],[姓]]="","",IF(AND(テーブル1[[#This Row],[コード]]&lt;&gt;"",テーブル1[[#This Row],[在籍開始日]]&lt;&gt;""),"OK","NG"))</f>
        <v>OK</v>
      </c>
    </row>
    <row r="36" spans="2:8" x14ac:dyDescent="0.4">
      <c r="B36" s="81">
        <v>10010026</v>
      </c>
      <c r="C36" s="81" t="s">
        <v>172</v>
      </c>
      <c r="D36" s="81" t="s">
        <v>173</v>
      </c>
      <c r="E36" s="103">
        <v>45748</v>
      </c>
      <c r="F36" s="81"/>
      <c r="H36" s="74" t="str">
        <f>IF(テーブル1[[#This Row],[姓]]="","",IF(AND(テーブル1[[#This Row],[コード]]&lt;&gt;"",テーブル1[[#This Row],[在籍開始日]]&lt;&gt;""),"OK","NG"))</f>
        <v>OK</v>
      </c>
    </row>
    <row r="37" spans="2:8" x14ac:dyDescent="0.4">
      <c r="B37" s="81">
        <v>10010027</v>
      </c>
      <c r="C37" s="81" t="s">
        <v>174</v>
      </c>
      <c r="D37" s="81" t="s">
        <v>159</v>
      </c>
      <c r="E37" s="103">
        <v>45748</v>
      </c>
      <c r="F37" s="81"/>
      <c r="H37" s="74" t="str">
        <f>IF(テーブル1[[#This Row],[姓]]="","",IF(AND(テーブル1[[#This Row],[コード]]&lt;&gt;"",テーブル1[[#This Row],[在籍開始日]]&lt;&gt;""),"OK","NG"))</f>
        <v>OK</v>
      </c>
    </row>
    <row r="38" spans="2:8" x14ac:dyDescent="0.4">
      <c r="B38" s="81">
        <v>10010028</v>
      </c>
      <c r="C38" s="81" t="s">
        <v>175</v>
      </c>
      <c r="D38" s="81" t="s">
        <v>135</v>
      </c>
      <c r="E38" s="103">
        <v>45748</v>
      </c>
      <c r="F38" s="81"/>
      <c r="H38" s="74" t="str">
        <f>IF(テーブル1[[#This Row],[姓]]="","",IF(AND(テーブル1[[#This Row],[コード]]&lt;&gt;"",テーブル1[[#This Row],[在籍開始日]]&lt;&gt;""),"OK","NG"))</f>
        <v>OK</v>
      </c>
    </row>
    <row r="39" spans="2:8" x14ac:dyDescent="0.4">
      <c r="B39" s="81">
        <v>10010029</v>
      </c>
      <c r="C39" s="81" t="s">
        <v>176</v>
      </c>
      <c r="D39" s="81" t="s">
        <v>171</v>
      </c>
      <c r="E39" s="103">
        <v>45748</v>
      </c>
      <c r="F39" s="81"/>
      <c r="H39" s="74" t="str">
        <f>IF(テーブル1[[#This Row],[姓]]="","",IF(AND(テーブル1[[#This Row],[コード]]&lt;&gt;"",テーブル1[[#This Row],[在籍開始日]]&lt;&gt;""),"OK","NG"))</f>
        <v>OK</v>
      </c>
    </row>
    <row r="40" spans="2:8" x14ac:dyDescent="0.4">
      <c r="B40" s="81">
        <v>10010030</v>
      </c>
      <c r="C40" s="81" t="s">
        <v>177</v>
      </c>
      <c r="D40" s="81" t="s">
        <v>178</v>
      </c>
      <c r="E40" s="103">
        <v>45748</v>
      </c>
      <c r="F40" s="81"/>
      <c r="H40" s="74" t="str">
        <f>IF(テーブル1[[#This Row],[姓]]="","",IF(AND(テーブル1[[#This Row],[コード]]&lt;&gt;"",テーブル1[[#This Row],[在籍開始日]]&lt;&gt;""),"OK","NG"))</f>
        <v>OK</v>
      </c>
    </row>
    <row r="41" spans="2:8" x14ac:dyDescent="0.4">
      <c r="B41" s="81"/>
      <c r="C41" s="81"/>
      <c r="D41" s="81"/>
      <c r="E41" s="103"/>
      <c r="F41" s="81"/>
      <c r="H41" s="74" t="str">
        <f>IF(テーブル1[[#This Row],[姓]]="","",IF(AND(テーブル1[[#This Row],[コード]]&lt;&gt;"",テーブル1[[#This Row],[在籍開始日]]&lt;&gt;""),"OK","NG"))</f>
        <v/>
      </c>
    </row>
    <row r="42" spans="2:8" x14ac:dyDescent="0.4">
      <c r="B42" s="81"/>
      <c r="C42" s="81"/>
      <c r="D42" s="81"/>
      <c r="E42" s="103"/>
      <c r="F42" s="81"/>
      <c r="H42" s="74" t="str">
        <f>IF(テーブル1[[#This Row],[姓]]="","",IF(AND(テーブル1[[#This Row],[コード]]&lt;&gt;"",テーブル1[[#This Row],[在籍開始日]]&lt;&gt;""),"OK","NG"))</f>
        <v/>
      </c>
    </row>
    <row r="43" spans="2:8" x14ac:dyDescent="0.4">
      <c r="B43" s="81"/>
      <c r="C43" s="81"/>
      <c r="D43" s="81"/>
      <c r="E43" s="103"/>
      <c r="F43" s="81"/>
      <c r="H43" s="74" t="str">
        <f>IF(テーブル1[[#This Row],[姓]]="","",IF(AND(テーブル1[[#This Row],[コード]]&lt;&gt;"",テーブル1[[#This Row],[在籍開始日]]&lt;&gt;""),"OK","NG"))</f>
        <v/>
      </c>
    </row>
    <row r="44" spans="2:8" x14ac:dyDescent="0.4">
      <c r="B44" s="81"/>
      <c r="C44" s="81"/>
      <c r="D44" s="81"/>
      <c r="E44" s="103"/>
      <c r="F44" s="81"/>
      <c r="H44" s="74" t="str">
        <f>IF(テーブル1[[#This Row],[姓]]="","",IF(AND(テーブル1[[#This Row],[コード]]&lt;&gt;"",テーブル1[[#This Row],[在籍開始日]]&lt;&gt;""),"OK","NG"))</f>
        <v/>
      </c>
    </row>
    <row r="45" spans="2:8" x14ac:dyDescent="0.4">
      <c r="B45" s="81"/>
      <c r="C45" s="81"/>
      <c r="D45" s="81"/>
      <c r="E45" s="103"/>
      <c r="F45" s="81"/>
      <c r="H45" s="74" t="str">
        <f>IF(テーブル1[[#This Row],[姓]]="","",IF(AND(テーブル1[[#This Row],[コード]]&lt;&gt;"",テーブル1[[#This Row],[在籍開始日]]&lt;&gt;""),"OK","NG"))</f>
        <v/>
      </c>
    </row>
    <row r="46" spans="2:8" x14ac:dyDescent="0.4">
      <c r="B46" s="81"/>
      <c r="C46" s="81"/>
      <c r="D46" s="81"/>
      <c r="E46" s="103"/>
      <c r="F46" s="81"/>
      <c r="H46" s="74" t="str">
        <f>IF(テーブル1[[#This Row],[姓]]="","",IF(AND(テーブル1[[#This Row],[コード]]&lt;&gt;"",テーブル1[[#This Row],[在籍開始日]]&lt;&gt;""),"OK","NG"))</f>
        <v/>
      </c>
    </row>
    <row r="47" spans="2:8" x14ac:dyDescent="0.4">
      <c r="B47" s="81"/>
      <c r="C47" s="81"/>
      <c r="D47" s="81"/>
      <c r="E47" s="103"/>
      <c r="F47" s="81"/>
      <c r="H47" s="74" t="str">
        <f>IF(テーブル1[[#This Row],[姓]]="","",IF(AND(テーブル1[[#This Row],[コード]]&lt;&gt;"",テーブル1[[#This Row],[在籍開始日]]&lt;&gt;""),"OK","NG"))</f>
        <v/>
      </c>
    </row>
    <row r="48" spans="2:8" x14ac:dyDescent="0.4">
      <c r="B48" s="81"/>
      <c r="C48" s="81"/>
      <c r="D48" s="81"/>
      <c r="E48" s="103"/>
      <c r="F48" s="81"/>
      <c r="H48" s="74" t="str">
        <f>IF(テーブル1[[#This Row],[姓]]="","",IF(AND(テーブル1[[#This Row],[コード]]&lt;&gt;"",テーブル1[[#This Row],[在籍開始日]]&lt;&gt;""),"OK","NG"))</f>
        <v/>
      </c>
    </row>
    <row r="49" spans="2:8" x14ac:dyDescent="0.4">
      <c r="B49" s="81"/>
      <c r="C49" s="81"/>
      <c r="D49" s="81"/>
      <c r="E49" s="103"/>
      <c r="F49" s="81"/>
      <c r="H49" s="74" t="str">
        <f>IF(テーブル1[[#This Row],[姓]]="","",IF(AND(テーブル1[[#This Row],[コード]]&lt;&gt;"",テーブル1[[#This Row],[在籍開始日]]&lt;&gt;""),"OK","NG"))</f>
        <v/>
      </c>
    </row>
    <row r="50" spans="2:8" x14ac:dyDescent="0.4">
      <c r="B50" s="81"/>
      <c r="C50" s="81"/>
      <c r="D50" s="81"/>
      <c r="E50" s="103"/>
      <c r="F50" s="81"/>
      <c r="H50" s="74" t="str">
        <f>IF(テーブル1[[#This Row],[姓]]="","",IF(AND(テーブル1[[#This Row],[コード]]&lt;&gt;"",テーブル1[[#This Row],[在籍開始日]]&lt;&gt;""),"OK","NG"))</f>
        <v/>
      </c>
    </row>
    <row r="51" spans="2:8" x14ac:dyDescent="0.4">
      <c r="E51" s="99"/>
    </row>
    <row r="52" spans="2:8" x14ac:dyDescent="0.4">
      <c r="E52" s="99"/>
    </row>
    <row r="53" spans="2:8" x14ac:dyDescent="0.4">
      <c r="E53" s="99"/>
    </row>
    <row r="54" spans="2:8" x14ac:dyDescent="0.4">
      <c r="E54" s="99"/>
    </row>
    <row r="55" spans="2:8" x14ac:dyDescent="0.4">
      <c r="E55" s="99"/>
    </row>
    <row r="56" spans="2:8" x14ac:dyDescent="0.4">
      <c r="E56" s="99"/>
    </row>
    <row r="57" spans="2:8" x14ac:dyDescent="0.4">
      <c r="E57" s="99"/>
    </row>
    <row r="58" spans="2:8" x14ac:dyDescent="0.4">
      <c r="E58" s="99"/>
    </row>
    <row r="59" spans="2:8" x14ac:dyDescent="0.4">
      <c r="E59" s="99"/>
    </row>
    <row r="60" spans="2:8" x14ac:dyDescent="0.4">
      <c r="E60" s="99"/>
    </row>
    <row r="61" spans="2:8" x14ac:dyDescent="0.4">
      <c r="E61" s="99"/>
    </row>
    <row r="62" spans="2:8" x14ac:dyDescent="0.4">
      <c r="E62" s="99"/>
    </row>
    <row r="63" spans="2:8" x14ac:dyDescent="0.4">
      <c r="E63" s="99"/>
    </row>
    <row r="64" spans="2:8" x14ac:dyDescent="0.4">
      <c r="E64" s="99"/>
    </row>
    <row r="65" spans="5:5" x14ac:dyDescent="0.4">
      <c r="E65" s="99"/>
    </row>
    <row r="66" spans="5:5" x14ac:dyDescent="0.4">
      <c r="E66" s="99"/>
    </row>
    <row r="67" spans="5:5" x14ac:dyDescent="0.4">
      <c r="E67" s="99"/>
    </row>
    <row r="68" spans="5:5" x14ac:dyDescent="0.4">
      <c r="E68" s="99"/>
    </row>
    <row r="69" spans="5:5" x14ac:dyDescent="0.4">
      <c r="E69" s="99"/>
    </row>
    <row r="70" spans="5:5" x14ac:dyDescent="0.4">
      <c r="E70" s="99"/>
    </row>
    <row r="71" spans="5:5" x14ac:dyDescent="0.4">
      <c r="E71" s="99"/>
    </row>
    <row r="72" spans="5:5" x14ac:dyDescent="0.4">
      <c r="E72" s="99"/>
    </row>
    <row r="73" spans="5:5" x14ac:dyDescent="0.4">
      <c r="E73" s="99"/>
    </row>
    <row r="74" spans="5:5" x14ac:dyDescent="0.4">
      <c r="E74" s="99"/>
    </row>
    <row r="75" spans="5:5" x14ac:dyDescent="0.4">
      <c r="E75" s="99"/>
    </row>
    <row r="76" spans="5:5" x14ac:dyDescent="0.4">
      <c r="E76" s="99"/>
    </row>
    <row r="77" spans="5:5" x14ac:dyDescent="0.4">
      <c r="E77" s="99"/>
    </row>
    <row r="78" spans="5:5" x14ac:dyDescent="0.4">
      <c r="E78" s="99"/>
    </row>
    <row r="79" spans="5:5" x14ac:dyDescent="0.4">
      <c r="E79" s="99"/>
    </row>
  </sheetData>
  <sheetProtection algorithmName="SHA-512" hashValue="z7F3NFNz0X+jj1RJnZK5LdmaBolWvLnlIBEZ32LqgTJQAAF/nmPCpfgz23A3bf7/hkxDS2Uoi4Lwl4C5eePu7w==" saltValue="T+2AvefVWoNUOMu630miIw==" spinCount="100000" sheet="1" objects="1" selectLockedCells="1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_namelist.saiban">
                <anchor moveWithCells="1" sizeWithCells="1">
                  <from>
                    <xdr:col>1</xdr:col>
                    <xdr:colOff>0</xdr:colOff>
                    <xdr:row>7</xdr:row>
                    <xdr:rowOff>238125</xdr:rowOff>
                  </from>
                  <to>
                    <xdr:col>1</xdr:col>
                    <xdr:colOff>647700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sh_namelist.SetEnrollmentStartDate">
                <anchor moveWithCells="1" sizeWithCells="1">
                  <from>
                    <xdr:col>4</xdr:col>
                    <xdr:colOff>0</xdr:colOff>
                    <xdr:row>8</xdr:row>
                    <xdr:rowOff>9525</xdr:rowOff>
                  </from>
                  <to>
                    <xdr:col>5</xdr:col>
                    <xdr:colOff>9525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ShowSetupForm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9</xdr:col>
                    <xdr:colOff>152400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70"/>
  <sheetViews>
    <sheetView zoomScale="101" zoomScaleNormal="115" workbookViewId="0">
      <selection activeCell="D32" sqref="D32"/>
    </sheetView>
  </sheetViews>
  <sheetFormatPr defaultColWidth="0" defaultRowHeight="18.75" zeroHeight="1" x14ac:dyDescent="0.4"/>
  <cols>
    <col min="1" max="1" width="2.625" style="65" customWidth="1"/>
    <col min="2" max="2" width="9.5" style="64" customWidth="1"/>
    <col min="3" max="3" width="13.125" style="65" bestFit="1" customWidth="1"/>
    <col min="4" max="8" width="10" style="65" customWidth="1"/>
    <col min="9" max="9" width="10" style="113" customWidth="1"/>
    <col min="10" max="10" width="19.125" style="113" customWidth="1"/>
    <col min="11" max="11" width="24.375" style="113" customWidth="1"/>
    <col min="12" max="12" width="13.25" style="113" hidden="1" customWidth="1"/>
    <col min="13" max="13" width="9" style="113" hidden="1" customWidth="1"/>
    <col min="14" max="14" width="11.375" style="113" hidden="1" customWidth="1"/>
    <col min="15" max="22" width="9" style="113" hidden="1" customWidth="1"/>
    <col min="23" max="16384" width="9" style="65" hidden="1"/>
  </cols>
  <sheetData>
    <row r="1" spans="1:26" ht="6.75" customHeight="1" x14ac:dyDescent="0.4">
      <c r="A1" s="113"/>
      <c r="B1" s="114"/>
      <c r="C1" s="113"/>
      <c r="D1" s="113"/>
      <c r="E1" s="113"/>
      <c r="F1" s="113"/>
      <c r="G1" s="113"/>
      <c r="H1" s="113"/>
    </row>
    <row r="2" spans="1:26" ht="42.75" x14ac:dyDescent="0.85">
      <c r="A2" s="113"/>
      <c r="B2" s="115" t="s">
        <v>44</v>
      </c>
      <c r="C2" s="113"/>
      <c r="D2" s="113"/>
      <c r="E2" s="113"/>
      <c r="F2" s="113"/>
      <c r="G2" s="113"/>
      <c r="H2" s="113"/>
    </row>
    <row r="3" spans="1:26" ht="19.5" customHeight="1" x14ac:dyDescent="0.4">
      <c r="A3" s="113"/>
      <c r="B3" s="114" t="s">
        <v>45</v>
      </c>
      <c r="C3" s="113"/>
      <c r="D3" s="113"/>
      <c r="E3" s="113"/>
      <c r="F3" s="113"/>
      <c r="G3" s="113"/>
      <c r="H3" s="113"/>
    </row>
    <row r="4" spans="1:26" s="68" customFormat="1" ht="24" x14ac:dyDescent="0.5">
      <c r="A4" s="116"/>
      <c r="B4" s="117"/>
      <c r="C4" s="118" t="s">
        <v>63</v>
      </c>
      <c r="D4" s="104"/>
      <c r="E4" s="72" t="s">
        <v>67</v>
      </c>
      <c r="F4" s="105"/>
      <c r="G4" s="122"/>
      <c r="H4" s="122"/>
      <c r="I4" s="122" t="s">
        <v>68</v>
      </c>
      <c r="J4" s="106">
        <v>46106</v>
      </c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67"/>
      <c r="X4" s="67"/>
      <c r="Y4" s="67"/>
      <c r="Z4" s="67"/>
    </row>
    <row r="5" spans="1:26" ht="3.75" customHeight="1" x14ac:dyDescent="0.4">
      <c r="A5" s="113"/>
      <c r="B5" s="114"/>
      <c r="C5" s="119"/>
      <c r="D5" s="129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70"/>
      <c r="X5" s="70"/>
      <c r="Y5" s="70"/>
      <c r="Z5" s="70"/>
    </row>
    <row r="6" spans="1:26" s="68" customFormat="1" ht="24" x14ac:dyDescent="0.5">
      <c r="A6" s="116"/>
      <c r="B6" s="117"/>
      <c r="C6" s="118" t="s">
        <v>64</v>
      </c>
      <c r="D6" s="240"/>
      <c r="E6" s="240"/>
      <c r="F6" s="240"/>
      <c r="G6" s="240"/>
      <c r="H6" s="240"/>
      <c r="I6" s="240"/>
      <c r="J6" s="240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67"/>
      <c r="X6" s="67"/>
      <c r="Y6" s="67"/>
      <c r="Z6" s="67"/>
    </row>
    <row r="7" spans="1:26" ht="3.75" customHeight="1" x14ac:dyDescent="0.4">
      <c r="A7" s="113"/>
      <c r="B7" s="114"/>
      <c r="C7" s="119"/>
      <c r="D7" s="69"/>
      <c r="E7" s="70"/>
      <c r="F7" s="70"/>
      <c r="G7" s="70"/>
      <c r="H7" s="70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70"/>
      <c r="X7" s="70"/>
      <c r="Y7" s="70"/>
      <c r="Z7" s="70"/>
    </row>
    <row r="8" spans="1:26" s="68" customFormat="1" ht="24" x14ac:dyDescent="0.5">
      <c r="A8" s="116"/>
      <c r="B8" s="117"/>
      <c r="C8" s="118" t="s">
        <v>65</v>
      </c>
      <c r="D8" s="108"/>
      <c r="E8" s="108"/>
      <c r="F8" s="108"/>
      <c r="G8" s="108"/>
      <c r="H8" s="108"/>
      <c r="I8" s="124"/>
      <c r="J8" s="130"/>
      <c r="K8" s="122"/>
      <c r="L8" s="122"/>
      <c r="M8" s="122"/>
      <c r="N8" s="122"/>
      <c r="O8" s="122"/>
      <c r="P8" s="122"/>
      <c r="Q8" s="122"/>
      <c r="R8" s="122"/>
      <c r="S8" s="122"/>
      <c r="T8" s="122"/>
      <c r="U8" s="122"/>
      <c r="V8" s="122"/>
      <c r="W8" s="67"/>
      <c r="X8" s="67"/>
      <c r="Y8" s="67"/>
      <c r="Z8" s="67"/>
    </row>
    <row r="9" spans="1:26" s="68" customFormat="1" ht="3.75" customHeight="1" x14ac:dyDescent="0.5">
      <c r="A9" s="116"/>
      <c r="B9" s="117"/>
      <c r="C9" s="118"/>
      <c r="D9" s="71"/>
      <c r="E9" s="71"/>
      <c r="F9" s="71"/>
      <c r="G9" s="71"/>
      <c r="H9" s="71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67"/>
      <c r="X9" s="67"/>
      <c r="Y9" s="67"/>
      <c r="Z9" s="67"/>
    </row>
    <row r="10" spans="1:26" s="68" customFormat="1" ht="24" x14ac:dyDescent="0.5">
      <c r="A10" s="116"/>
      <c r="B10" s="117"/>
      <c r="C10" s="118" t="s">
        <v>47</v>
      </c>
      <c r="D10" s="109"/>
      <c r="E10" s="109"/>
      <c r="F10" s="109"/>
      <c r="G10" s="109"/>
      <c r="H10" s="109"/>
      <c r="I10" s="124"/>
      <c r="J10" s="122"/>
      <c r="K10" s="122"/>
      <c r="L10" s="125" t="s">
        <v>105</v>
      </c>
      <c r="M10" s="130" t="b">
        <v>0</v>
      </c>
      <c r="N10" s="122"/>
      <c r="O10" s="122"/>
      <c r="P10" s="122"/>
      <c r="Q10" s="122"/>
      <c r="R10" s="122"/>
      <c r="S10" s="122"/>
      <c r="T10" s="122"/>
      <c r="U10" s="122"/>
      <c r="V10" s="122"/>
      <c r="W10" s="67"/>
      <c r="X10" s="67"/>
      <c r="Y10" s="67"/>
      <c r="Z10" s="67"/>
    </row>
    <row r="11" spans="1:26" s="68" customFormat="1" ht="3.75" customHeight="1" x14ac:dyDescent="0.5">
      <c r="A11" s="116"/>
      <c r="B11" s="117"/>
      <c r="C11" s="118"/>
      <c r="D11" s="71"/>
      <c r="E11" s="71"/>
      <c r="F11" s="71"/>
      <c r="G11" s="71"/>
      <c r="H11" s="71"/>
      <c r="I11" s="124"/>
      <c r="J11" s="122"/>
      <c r="K11" s="122"/>
      <c r="L11" s="125"/>
      <c r="M11" s="130"/>
      <c r="N11" s="122"/>
      <c r="O11" s="122"/>
      <c r="P11" s="122"/>
      <c r="Q11" s="122"/>
      <c r="R11" s="122"/>
      <c r="S11" s="122"/>
      <c r="T11" s="122"/>
      <c r="U11" s="122"/>
      <c r="V11" s="122"/>
      <c r="W11" s="67"/>
      <c r="X11" s="67"/>
      <c r="Y11" s="67"/>
      <c r="Z11" s="67"/>
    </row>
    <row r="12" spans="1:26" s="68" customFormat="1" ht="25.5" customHeight="1" x14ac:dyDescent="0.5">
      <c r="A12" s="116"/>
      <c r="B12" s="117"/>
      <c r="C12" s="118" t="s">
        <v>66</v>
      </c>
      <c r="D12" s="104"/>
      <c r="E12" s="107"/>
      <c r="F12" s="107"/>
      <c r="G12" s="109"/>
      <c r="H12" s="109"/>
      <c r="I12" s="124"/>
      <c r="J12" s="122"/>
      <c r="K12" s="122"/>
      <c r="L12" s="125" t="s">
        <v>48</v>
      </c>
      <c r="M12" s="130" t="b">
        <v>1</v>
      </c>
      <c r="N12" s="122">
        <f>IF(M12,1,0)</f>
        <v>1</v>
      </c>
      <c r="O12" s="122"/>
      <c r="P12" s="122"/>
      <c r="Q12" s="122"/>
      <c r="R12" s="122"/>
      <c r="S12" s="122"/>
      <c r="T12" s="122"/>
      <c r="U12" s="122"/>
      <c r="V12" s="122"/>
      <c r="W12" s="67"/>
      <c r="X12" s="67"/>
      <c r="Y12" s="67"/>
      <c r="Z12" s="67"/>
    </row>
    <row r="13" spans="1:26" s="68" customFormat="1" ht="3.75" customHeight="1" x14ac:dyDescent="0.5">
      <c r="A13" s="116"/>
      <c r="B13" s="117"/>
      <c r="C13" s="118"/>
      <c r="D13" s="71"/>
      <c r="E13" s="71"/>
      <c r="F13" s="71"/>
      <c r="G13" s="71"/>
      <c r="H13" s="71"/>
      <c r="I13" s="124"/>
      <c r="J13" s="122"/>
      <c r="K13" s="122"/>
      <c r="L13" s="125"/>
      <c r="M13" s="130"/>
      <c r="N13" s="122"/>
      <c r="O13" s="122"/>
      <c r="P13" s="122"/>
      <c r="Q13" s="122"/>
      <c r="R13" s="122"/>
      <c r="S13" s="122"/>
      <c r="T13" s="122"/>
      <c r="U13" s="122"/>
      <c r="V13" s="122"/>
      <c r="W13" s="67"/>
      <c r="X13" s="67"/>
      <c r="Y13" s="67"/>
      <c r="Z13" s="67"/>
    </row>
    <row r="14" spans="1:26" s="68" customFormat="1" ht="24" customHeight="1" x14ac:dyDescent="0.5">
      <c r="A14" s="116"/>
      <c r="B14" s="117"/>
      <c r="C14" s="118" t="s">
        <v>50</v>
      </c>
      <c r="D14" s="227"/>
      <c r="E14" s="227"/>
      <c r="F14" s="227"/>
      <c r="G14" s="227"/>
      <c r="H14" s="227"/>
      <c r="I14" s="124"/>
      <c r="J14" s="122"/>
      <c r="K14" s="122"/>
      <c r="L14" s="126" t="s">
        <v>58</v>
      </c>
      <c r="M14" s="130" t="b">
        <v>1</v>
      </c>
      <c r="N14" s="122">
        <f>IF(M14,1,0)</f>
        <v>1</v>
      </c>
      <c r="O14" s="122"/>
      <c r="P14" s="122"/>
      <c r="Q14" s="122"/>
      <c r="R14" s="122"/>
      <c r="S14" s="122"/>
      <c r="T14" s="122"/>
      <c r="U14" s="122"/>
      <c r="V14" s="122"/>
      <c r="W14" s="67"/>
      <c r="X14" s="67"/>
      <c r="Y14" s="67"/>
      <c r="Z14" s="67"/>
    </row>
    <row r="15" spans="1:26" s="68" customFormat="1" ht="3.75" customHeight="1" x14ac:dyDescent="0.5">
      <c r="A15" s="116"/>
      <c r="B15" s="117"/>
      <c r="C15" s="118"/>
      <c r="D15" s="71"/>
      <c r="E15" s="71"/>
      <c r="F15" s="71"/>
      <c r="G15" s="71"/>
      <c r="H15" s="71"/>
      <c r="I15" s="124"/>
      <c r="J15" s="122"/>
      <c r="K15" s="122"/>
      <c r="L15" s="126"/>
      <c r="M15" s="130"/>
      <c r="N15" s="122"/>
      <c r="O15" s="122"/>
      <c r="P15" s="122"/>
      <c r="Q15" s="122"/>
      <c r="R15" s="122"/>
      <c r="S15" s="122"/>
      <c r="T15" s="122"/>
      <c r="U15" s="122"/>
      <c r="V15" s="122"/>
      <c r="W15" s="67"/>
      <c r="X15" s="67"/>
      <c r="Y15" s="67"/>
      <c r="Z15" s="67"/>
    </row>
    <row r="16" spans="1:26" s="68" customFormat="1" ht="25.5" customHeight="1" x14ac:dyDescent="0.5">
      <c r="A16" s="116"/>
      <c r="B16" s="117"/>
      <c r="C16" s="118" t="s">
        <v>51</v>
      </c>
      <c r="D16" s="227"/>
      <c r="E16" s="227"/>
      <c r="F16" s="227"/>
      <c r="G16" s="227"/>
      <c r="H16" s="227"/>
      <c r="I16" s="124"/>
      <c r="J16" s="122"/>
      <c r="K16" s="122"/>
      <c r="L16" s="126" t="s">
        <v>59</v>
      </c>
      <c r="M16" s="130" t="b">
        <v>1</v>
      </c>
      <c r="N16" s="122">
        <f>IF(M16,1,0)</f>
        <v>1</v>
      </c>
      <c r="O16" s="122"/>
      <c r="P16" s="122"/>
      <c r="Q16" s="122"/>
      <c r="R16" s="122"/>
      <c r="S16" s="122"/>
      <c r="T16" s="122"/>
      <c r="U16" s="122"/>
      <c r="V16" s="122"/>
      <c r="W16" s="67"/>
      <c r="X16" s="67"/>
      <c r="Y16" s="67"/>
      <c r="Z16" s="67"/>
    </row>
    <row r="17" spans="1:26" s="68" customFormat="1" ht="3.75" customHeight="1" x14ac:dyDescent="0.5">
      <c r="A17" s="116"/>
      <c r="B17" s="117"/>
      <c r="C17" s="118"/>
      <c r="D17" s="71"/>
      <c r="E17" s="71"/>
      <c r="F17" s="71"/>
      <c r="G17" s="71"/>
      <c r="H17" s="71"/>
      <c r="I17" s="124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67"/>
      <c r="X17" s="67"/>
      <c r="Y17" s="67"/>
      <c r="Z17" s="67"/>
    </row>
    <row r="18" spans="1:26" s="68" customFormat="1" ht="25.5" customHeight="1" x14ac:dyDescent="0.5">
      <c r="A18" s="116"/>
      <c r="B18" s="117"/>
      <c r="C18" s="118" t="s">
        <v>49</v>
      </c>
      <c r="D18" s="231"/>
      <c r="E18" s="231"/>
      <c r="F18" s="231"/>
      <c r="G18" s="231"/>
      <c r="H18" s="231"/>
      <c r="I18" s="124"/>
      <c r="J18" s="122"/>
      <c r="K18" s="122"/>
      <c r="L18" s="122"/>
      <c r="M18" s="122"/>
      <c r="N18" s="122">
        <f>SUM(N16,N14,N12)</f>
        <v>3</v>
      </c>
      <c r="O18" s="122"/>
      <c r="P18" s="122"/>
      <c r="Q18" s="122"/>
      <c r="R18" s="122"/>
      <c r="S18" s="122"/>
      <c r="T18" s="122"/>
      <c r="U18" s="122"/>
      <c r="V18" s="122"/>
      <c r="W18" s="67"/>
      <c r="X18" s="67"/>
      <c r="Y18" s="67"/>
      <c r="Z18" s="67"/>
    </row>
    <row r="19" spans="1:26" s="68" customFormat="1" ht="3.75" customHeight="1" x14ac:dyDescent="0.5">
      <c r="A19" s="116"/>
      <c r="B19" s="117"/>
      <c r="C19" s="118"/>
      <c r="D19" s="71"/>
      <c r="E19" s="71"/>
      <c r="F19" s="71"/>
      <c r="G19" s="71"/>
      <c r="H19" s="71"/>
      <c r="I19" s="124"/>
      <c r="J19" s="122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  <c r="V19" s="122"/>
      <c r="W19" s="67"/>
      <c r="X19" s="67"/>
      <c r="Y19" s="67"/>
      <c r="Z19" s="67"/>
    </row>
    <row r="20" spans="1:26" s="68" customFormat="1" ht="25.5" customHeight="1" x14ac:dyDescent="0.5">
      <c r="A20" s="116"/>
      <c r="B20" s="117"/>
      <c r="C20" s="118" t="s">
        <v>52</v>
      </c>
      <c r="D20" s="228"/>
      <c r="E20" s="228"/>
      <c r="F20" s="228"/>
      <c r="G20" s="228"/>
      <c r="H20" s="228"/>
      <c r="I20" s="124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  <c r="V20" s="122"/>
      <c r="W20" s="67"/>
      <c r="X20" s="67"/>
      <c r="Y20" s="67"/>
      <c r="Z20" s="67"/>
    </row>
    <row r="21" spans="1:26" s="68" customFormat="1" ht="3.75" customHeight="1" x14ac:dyDescent="0.5">
      <c r="A21" s="116"/>
      <c r="B21" s="117"/>
      <c r="C21" s="118"/>
      <c r="D21" s="71"/>
      <c r="E21" s="71"/>
      <c r="F21" s="71"/>
      <c r="G21" s="71"/>
      <c r="H21" s="71"/>
      <c r="I21" s="124"/>
      <c r="J21" s="122"/>
      <c r="K21" s="122"/>
      <c r="L21" s="122"/>
      <c r="M21" s="122"/>
      <c r="N21" s="122"/>
      <c r="O21" s="122"/>
      <c r="P21" s="122"/>
      <c r="Q21" s="122"/>
      <c r="R21" s="122"/>
      <c r="S21" s="122"/>
      <c r="T21" s="122"/>
      <c r="U21" s="122"/>
      <c r="V21" s="122"/>
      <c r="W21" s="67"/>
      <c r="X21" s="67"/>
      <c r="Y21" s="67"/>
      <c r="Z21" s="67"/>
    </row>
    <row r="22" spans="1:26" s="68" customFormat="1" ht="24" customHeight="1" x14ac:dyDescent="0.5">
      <c r="A22" s="116" t="s">
        <v>53</v>
      </c>
      <c r="B22" s="117"/>
      <c r="C22" s="118" t="s">
        <v>54</v>
      </c>
      <c r="D22" s="229"/>
      <c r="E22" s="230"/>
      <c r="F22" s="230"/>
      <c r="G22" s="230"/>
      <c r="H22" s="230"/>
      <c r="I22" s="124"/>
      <c r="J22" s="122"/>
      <c r="K22" s="122"/>
      <c r="L22" s="122"/>
      <c r="M22" s="122"/>
      <c r="N22" s="122"/>
      <c r="O22" s="122"/>
      <c r="P22" s="122"/>
      <c r="Q22" s="122"/>
      <c r="R22" s="122"/>
      <c r="S22" s="122"/>
      <c r="T22" s="122"/>
      <c r="U22" s="122"/>
      <c r="V22" s="122"/>
      <c r="W22" s="67"/>
      <c r="X22" s="67"/>
      <c r="Y22" s="67"/>
      <c r="Z22" s="67"/>
    </row>
    <row r="23" spans="1:26" s="68" customFormat="1" ht="3.75" customHeight="1" x14ac:dyDescent="0.5">
      <c r="A23" s="116"/>
      <c r="B23" s="117"/>
      <c r="C23" s="118"/>
      <c r="D23" s="71"/>
      <c r="E23" s="71"/>
      <c r="F23" s="71"/>
      <c r="G23" s="71"/>
      <c r="H23" s="71"/>
      <c r="I23" s="127"/>
      <c r="J23" s="122"/>
      <c r="K23" s="122"/>
      <c r="L23" s="122"/>
      <c r="M23" s="122"/>
      <c r="N23" s="122"/>
      <c r="O23" s="122"/>
      <c r="P23" s="122"/>
      <c r="Q23" s="122"/>
      <c r="R23" s="122"/>
      <c r="S23" s="122"/>
      <c r="T23" s="122"/>
      <c r="U23" s="122"/>
      <c r="V23" s="122"/>
      <c r="W23" s="67"/>
      <c r="X23" s="67"/>
      <c r="Y23" s="67"/>
      <c r="Z23" s="67"/>
    </row>
    <row r="24" spans="1:26" s="68" customFormat="1" ht="24" customHeight="1" x14ac:dyDescent="0.5">
      <c r="A24" s="116"/>
      <c r="B24" s="117"/>
      <c r="C24" s="118" t="s">
        <v>55</v>
      </c>
      <c r="D24" s="235" t="str" cm="1">
        <f t="array" ref="D24">IF(D12="","",調整後配点計算(D12,D14,D18,D20))</f>
        <v/>
      </c>
      <c r="E24" s="235" t="str" cm="1">
        <f t="array" ref="E24">IF(E12="","",調整後配点計算(E12,E14,E18,E20))</f>
        <v/>
      </c>
      <c r="F24" s="235" t="str" cm="1">
        <f t="array" ref="F24">IF(F12="","",調整後配点計算(F12,F14,F18,F20))</f>
        <v/>
      </c>
      <c r="G24" s="235" t="str" cm="1">
        <f t="array" ref="G24">IF(G12="","",調整後配点計算(G12,G14,G18,G20))</f>
        <v/>
      </c>
      <c r="H24" s="235"/>
      <c r="I24" s="127"/>
      <c r="J24" s="122"/>
      <c r="K24" s="122"/>
      <c r="L24" s="116"/>
      <c r="M24" s="116"/>
      <c r="N24" s="116"/>
      <c r="O24" s="122"/>
      <c r="P24" s="122"/>
      <c r="Q24" s="122"/>
      <c r="R24" s="122"/>
      <c r="S24" s="122"/>
      <c r="T24" s="122"/>
      <c r="U24" s="122"/>
      <c r="V24" s="122"/>
      <c r="W24" s="67"/>
      <c r="X24" s="67"/>
      <c r="Y24" s="67"/>
      <c r="Z24" s="67"/>
    </row>
    <row r="25" spans="1:26" s="68" customFormat="1" ht="3.75" customHeight="1" x14ac:dyDescent="0.5">
      <c r="A25" s="116"/>
      <c r="B25" s="117"/>
      <c r="C25" s="118"/>
      <c r="D25" s="71"/>
      <c r="E25" s="71"/>
      <c r="F25" s="71"/>
      <c r="G25" s="71"/>
      <c r="H25" s="71"/>
      <c r="I25" s="127"/>
      <c r="J25" s="122"/>
      <c r="K25" s="122"/>
      <c r="L25" s="116"/>
      <c r="M25" s="116"/>
      <c r="N25" s="116"/>
      <c r="O25" s="122"/>
      <c r="P25" s="122"/>
      <c r="Q25" s="122"/>
      <c r="R25" s="122"/>
      <c r="S25" s="122"/>
      <c r="T25" s="122"/>
      <c r="U25" s="122"/>
      <c r="V25" s="122"/>
      <c r="W25" s="67"/>
      <c r="X25" s="67"/>
      <c r="Y25" s="67"/>
      <c r="Z25" s="67"/>
    </row>
    <row r="26" spans="1:26" s="68" customFormat="1" ht="24" x14ac:dyDescent="0.5">
      <c r="A26" s="116"/>
      <c r="B26" s="117"/>
      <c r="C26" s="118" t="s">
        <v>46</v>
      </c>
      <c r="D26" s="104"/>
      <c r="E26" s="107"/>
      <c r="F26" s="107"/>
      <c r="G26" s="107"/>
      <c r="H26" s="107"/>
      <c r="I26" s="127" t="s">
        <v>74</v>
      </c>
      <c r="J26" s="116"/>
      <c r="K26" s="122"/>
      <c r="L26" s="116"/>
      <c r="M26" s="116"/>
      <c r="N26" s="116"/>
      <c r="O26" s="122"/>
      <c r="P26" s="122"/>
      <c r="Q26" s="122"/>
      <c r="R26" s="122"/>
      <c r="S26" s="122"/>
      <c r="T26" s="122"/>
      <c r="U26" s="122"/>
      <c r="V26" s="122"/>
      <c r="W26" s="67"/>
      <c r="X26" s="67"/>
      <c r="Y26" s="67"/>
      <c r="Z26" s="67"/>
    </row>
    <row r="27" spans="1:26" s="68" customFormat="1" ht="3.75" customHeight="1" x14ac:dyDescent="0.5">
      <c r="A27" s="116"/>
      <c r="B27" s="117"/>
      <c r="C27" s="113"/>
      <c r="D27" s="65"/>
      <c r="E27" s="67"/>
      <c r="F27" s="67"/>
      <c r="G27" s="67"/>
      <c r="H27" s="67"/>
      <c r="I27" s="122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67"/>
      <c r="X27" s="67"/>
      <c r="Y27" s="67"/>
      <c r="Z27" s="67"/>
    </row>
    <row r="28" spans="1:26" s="68" customFormat="1" ht="23.25" hidden="1" customHeight="1" x14ac:dyDescent="0.5">
      <c r="A28" s="116"/>
      <c r="B28" s="117"/>
      <c r="C28" s="118" t="s">
        <v>88</v>
      </c>
      <c r="D28" s="66"/>
      <c r="E28" s="66"/>
      <c r="F28" s="66"/>
      <c r="G28" s="66"/>
      <c r="H28" s="66"/>
      <c r="I28" s="127" t="s">
        <v>89</v>
      </c>
      <c r="J28" s="122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67"/>
      <c r="X28" s="67"/>
      <c r="Y28" s="67"/>
      <c r="Z28" s="67"/>
    </row>
    <row r="29" spans="1:26" s="68" customFormat="1" ht="3.75" customHeight="1" thickBot="1" x14ac:dyDescent="0.55000000000000004">
      <c r="A29" s="120"/>
      <c r="B29" s="121"/>
      <c r="C29" s="121"/>
      <c r="D29" s="73"/>
      <c r="E29" s="73"/>
      <c r="F29" s="73"/>
      <c r="G29" s="73"/>
      <c r="H29" s="73"/>
      <c r="I29" s="128"/>
      <c r="J29" s="128"/>
      <c r="K29" s="128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67"/>
      <c r="X29" s="67"/>
      <c r="Y29" s="67"/>
      <c r="Z29" s="67"/>
    </row>
    <row r="30" spans="1:26" x14ac:dyDescent="0.4">
      <c r="B30" s="65" t="s">
        <v>56</v>
      </c>
      <c r="C30" s="65" t="s">
        <v>57</v>
      </c>
      <c r="E30" s="70"/>
      <c r="F30" s="70"/>
      <c r="G30" s="70"/>
      <c r="H30" s="70"/>
      <c r="I30" s="123"/>
      <c r="J30" s="123"/>
    </row>
    <row r="31" spans="1:26" hidden="1" x14ac:dyDescent="0.4">
      <c r="B31" t="str">
        <f>名簿!C11&amp;""</f>
        <v>田中</v>
      </c>
      <c r="C31" t="str">
        <f>名簿!D11&amp;""</f>
        <v>雄介</v>
      </c>
      <c r="D31" s="110"/>
      <c r="E31" s="110"/>
      <c r="F31" s="110"/>
      <c r="G31" s="110"/>
      <c r="H31" s="110"/>
    </row>
    <row r="32" spans="1:26" x14ac:dyDescent="0.4">
      <c r="B32" t="str">
        <f>名簿!C12&amp;""</f>
        <v>佐藤</v>
      </c>
      <c r="C32" t="str">
        <f>名簿!D12&amp;""</f>
        <v>凛</v>
      </c>
      <c r="D32" s="110"/>
      <c r="E32" s="110"/>
      <c r="F32" s="110"/>
      <c r="G32" s="110"/>
      <c r="H32" s="110"/>
    </row>
    <row r="33" spans="2:8" x14ac:dyDescent="0.4">
      <c r="B33" t="str">
        <f>名簿!C13&amp;""</f>
        <v>鈴木</v>
      </c>
      <c r="C33" t="str">
        <f>名簿!D13&amp;""</f>
        <v>誠</v>
      </c>
      <c r="D33" s="110"/>
      <c r="E33" s="110"/>
      <c r="F33" s="110"/>
      <c r="G33" s="110"/>
      <c r="H33" s="110"/>
    </row>
    <row r="34" spans="2:8" x14ac:dyDescent="0.4">
      <c r="B34" t="str">
        <f>名簿!C14&amp;""</f>
        <v>高橋</v>
      </c>
      <c r="C34" t="str">
        <f>名簿!D14&amp;""</f>
        <v>美優</v>
      </c>
      <c r="D34" s="110"/>
      <c r="E34" s="110"/>
      <c r="F34" s="110"/>
      <c r="G34" s="110"/>
      <c r="H34" s="110"/>
    </row>
    <row r="35" spans="2:8" x14ac:dyDescent="0.4">
      <c r="B35" t="str">
        <f>名簿!C15&amp;""</f>
        <v>渡辺</v>
      </c>
      <c r="C35" t="str">
        <f>名簿!D15&amp;""</f>
        <v>誠</v>
      </c>
      <c r="D35" s="110"/>
      <c r="E35" s="110"/>
      <c r="F35" s="110"/>
      <c r="G35" s="110"/>
      <c r="H35" s="110"/>
    </row>
    <row r="36" spans="2:8" x14ac:dyDescent="0.4">
      <c r="B36" t="str">
        <f>名簿!C16&amp;""</f>
        <v>伊藤</v>
      </c>
      <c r="C36" t="str">
        <f>名簿!D16&amp;""</f>
        <v>凛</v>
      </c>
      <c r="D36" s="110"/>
      <c r="E36" s="110"/>
      <c r="F36" s="110"/>
      <c r="G36" s="110"/>
      <c r="H36" s="110"/>
    </row>
    <row r="37" spans="2:8" x14ac:dyDescent="0.4">
      <c r="B37" t="str">
        <f>名簿!C17&amp;""</f>
        <v>山本</v>
      </c>
      <c r="C37" t="str">
        <f>名簿!D17&amp;""</f>
        <v>太郎</v>
      </c>
      <c r="D37" s="110"/>
      <c r="E37" s="110"/>
      <c r="F37" s="110"/>
      <c r="G37" s="110"/>
      <c r="H37" s="110"/>
    </row>
    <row r="38" spans="2:8" x14ac:dyDescent="0.4">
      <c r="B38" t="str">
        <f>名簿!C18&amp;""</f>
        <v>中村</v>
      </c>
      <c r="C38" t="str">
        <f>名簿!D18&amp;""</f>
        <v>真央</v>
      </c>
      <c r="D38" s="110"/>
      <c r="E38" s="110"/>
      <c r="F38" s="110"/>
      <c r="G38" s="110"/>
      <c r="H38" s="110"/>
    </row>
    <row r="39" spans="2:8" x14ac:dyDescent="0.4">
      <c r="B39" t="str">
        <f>名簿!C19&amp;""</f>
        <v>小林</v>
      </c>
      <c r="C39" t="str">
        <f>名簿!D19&amp;""</f>
        <v>浩</v>
      </c>
      <c r="D39" s="110"/>
      <c r="E39" s="110"/>
      <c r="F39" s="110"/>
      <c r="G39" s="110"/>
      <c r="H39" s="110"/>
    </row>
    <row r="40" spans="2:8" x14ac:dyDescent="0.4">
      <c r="B40" t="str">
        <f>名簿!C20&amp;""</f>
        <v>加藤</v>
      </c>
      <c r="C40" t="str">
        <f>名簿!D20&amp;""</f>
        <v>さくら</v>
      </c>
      <c r="D40" s="110"/>
      <c r="E40" s="110"/>
      <c r="F40" s="110"/>
      <c r="G40" s="110"/>
      <c r="H40" s="110"/>
    </row>
    <row r="41" spans="2:8" x14ac:dyDescent="0.4">
      <c r="B41" t="str">
        <f>名簿!C21&amp;""</f>
        <v>吉田</v>
      </c>
      <c r="C41" t="str">
        <f>名簿!D21&amp;""</f>
        <v>亮</v>
      </c>
      <c r="D41" s="110"/>
      <c r="E41" s="110"/>
      <c r="F41" s="110"/>
      <c r="G41" s="110"/>
      <c r="H41" s="110"/>
    </row>
    <row r="42" spans="2:8" x14ac:dyDescent="0.4">
      <c r="B42" t="str">
        <f>名簿!C22&amp;""</f>
        <v>山田</v>
      </c>
      <c r="C42" t="str">
        <f>名簿!D22&amp;""</f>
        <v>愛</v>
      </c>
      <c r="D42" s="110"/>
      <c r="E42" s="110"/>
      <c r="F42" s="110"/>
      <c r="G42" s="110"/>
      <c r="H42" s="110"/>
    </row>
    <row r="43" spans="2:8" x14ac:dyDescent="0.4">
      <c r="B43" t="str">
        <f>名簿!C23&amp;""</f>
        <v>佐々木</v>
      </c>
      <c r="C43" t="str">
        <f>名簿!D23&amp;""</f>
        <v>浩</v>
      </c>
      <c r="D43" s="110"/>
      <c r="E43" s="110"/>
      <c r="F43" s="110"/>
      <c r="G43" s="110"/>
      <c r="H43" s="110"/>
    </row>
    <row r="44" spans="2:8" x14ac:dyDescent="0.4">
      <c r="B44" t="str">
        <f>名簿!C24&amp;""</f>
        <v>山口</v>
      </c>
      <c r="C44" t="str">
        <f>名簿!D24&amp;""</f>
        <v>結衣</v>
      </c>
      <c r="D44" s="110"/>
      <c r="E44" s="110"/>
      <c r="F44" s="110"/>
      <c r="G44" s="110"/>
      <c r="H44" s="110"/>
    </row>
    <row r="45" spans="2:8" x14ac:dyDescent="0.4">
      <c r="B45" t="str">
        <f>名簿!C25&amp;""</f>
        <v>松本</v>
      </c>
      <c r="C45" t="str">
        <f>名簿!D25&amp;""</f>
        <v>浩</v>
      </c>
      <c r="D45" s="110"/>
      <c r="E45" s="110"/>
      <c r="F45" s="110"/>
      <c r="G45" s="110"/>
      <c r="H45" s="110"/>
    </row>
    <row r="46" spans="2:8" x14ac:dyDescent="0.4">
      <c r="B46" t="str">
        <f>名簿!C26&amp;""</f>
        <v>井上</v>
      </c>
      <c r="C46" t="str">
        <f>名簿!D26&amp;""</f>
        <v>結衣</v>
      </c>
      <c r="D46" s="110"/>
      <c r="E46" s="110"/>
      <c r="F46" s="110"/>
      <c r="G46" s="110"/>
      <c r="H46" s="110"/>
    </row>
    <row r="47" spans="2:8" x14ac:dyDescent="0.4">
      <c r="B47" t="str">
        <f>名簿!C27&amp;""</f>
        <v>木村</v>
      </c>
      <c r="C47" t="str">
        <f>名簿!D27&amp;""</f>
        <v>学</v>
      </c>
      <c r="D47" s="110"/>
      <c r="E47" s="110"/>
      <c r="F47" s="110"/>
      <c r="G47" s="110"/>
      <c r="H47" s="110"/>
    </row>
    <row r="48" spans="2:8" x14ac:dyDescent="0.4">
      <c r="B48" t="str">
        <f>名簿!C28&amp;""</f>
        <v>林</v>
      </c>
      <c r="C48" t="str">
        <f>名簿!D28&amp;""</f>
        <v>凛</v>
      </c>
      <c r="D48" s="110"/>
      <c r="E48" s="110"/>
      <c r="F48" s="110"/>
      <c r="G48" s="110"/>
      <c r="H48" s="110"/>
    </row>
    <row r="49" spans="2:8" x14ac:dyDescent="0.4">
      <c r="B49" t="str">
        <f>名簿!C29&amp;""</f>
        <v>斎藤</v>
      </c>
      <c r="C49" t="str">
        <f>名簿!D29&amp;""</f>
        <v>翔太</v>
      </c>
      <c r="D49" s="110"/>
      <c r="E49" s="110"/>
      <c r="F49" s="110"/>
      <c r="G49" s="110"/>
      <c r="H49" s="110"/>
    </row>
    <row r="50" spans="2:8" x14ac:dyDescent="0.4">
      <c r="B50" t="str">
        <f>名簿!C30&amp;""</f>
        <v>清水</v>
      </c>
      <c r="C50" t="str">
        <f>名簿!D30&amp;""</f>
        <v>結衣</v>
      </c>
      <c r="D50" s="110"/>
      <c r="E50" s="110"/>
      <c r="F50" s="110"/>
      <c r="G50" s="110"/>
      <c r="H50" s="110"/>
    </row>
    <row r="51" spans="2:8" x14ac:dyDescent="0.4">
      <c r="B51" t="str">
        <f>名簿!C31&amp;""</f>
        <v>山崎</v>
      </c>
      <c r="C51" t="str">
        <f>名簿!D31&amp;""</f>
        <v>一郎</v>
      </c>
      <c r="D51" s="110"/>
      <c r="E51" s="110"/>
      <c r="F51" s="110"/>
      <c r="G51" s="110"/>
      <c r="H51" s="110"/>
    </row>
    <row r="52" spans="2:8" x14ac:dyDescent="0.4">
      <c r="B52" t="str">
        <f>名簿!C32&amp;""</f>
        <v>森</v>
      </c>
      <c r="C52" t="str">
        <f>名簿!D32&amp;""</f>
        <v>凛</v>
      </c>
      <c r="D52" s="110"/>
      <c r="E52" s="110"/>
      <c r="F52" s="110"/>
      <c r="G52" s="110"/>
      <c r="H52" s="110"/>
    </row>
    <row r="53" spans="2:8" x14ac:dyDescent="0.4">
      <c r="B53" t="str">
        <f>名簿!C33&amp;""</f>
        <v>池田</v>
      </c>
      <c r="C53" t="str">
        <f>名簿!D33&amp;""</f>
        <v>直樹</v>
      </c>
      <c r="D53" s="110"/>
      <c r="E53" s="110"/>
      <c r="F53" s="110"/>
      <c r="G53" s="110"/>
      <c r="H53" s="110"/>
    </row>
    <row r="54" spans="2:8" x14ac:dyDescent="0.4">
      <c r="B54" t="str">
        <f>名簿!C34&amp;""</f>
        <v>橋本</v>
      </c>
      <c r="C54" t="str">
        <f>名簿!D34&amp;""</f>
        <v>愛</v>
      </c>
      <c r="D54" s="110"/>
      <c r="E54" s="110"/>
      <c r="F54" s="110"/>
      <c r="G54" s="110"/>
      <c r="H54" s="110"/>
    </row>
    <row r="55" spans="2:8" x14ac:dyDescent="0.4">
      <c r="B55" t="str">
        <f>名簿!C35&amp;""</f>
        <v>阿部</v>
      </c>
      <c r="C55" t="str">
        <f>名簿!D35&amp;""</f>
        <v>健太</v>
      </c>
      <c r="D55" s="110"/>
      <c r="E55" s="110"/>
      <c r="F55" s="110"/>
      <c r="G55" s="110"/>
      <c r="H55" s="110"/>
    </row>
    <row r="56" spans="2:8" x14ac:dyDescent="0.4">
      <c r="B56" t="str">
        <f>名簿!C36&amp;""</f>
        <v>石川</v>
      </c>
      <c r="C56" t="str">
        <f>名簿!D36&amp;""</f>
        <v>陽菜</v>
      </c>
      <c r="D56" s="110"/>
      <c r="E56" s="110"/>
      <c r="F56" s="110"/>
      <c r="G56" s="110"/>
      <c r="H56" s="110"/>
    </row>
    <row r="57" spans="2:8" x14ac:dyDescent="0.4">
      <c r="B57" t="str">
        <f>名簿!C37&amp;""</f>
        <v>山下</v>
      </c>
      <c r="C57" t="str">
        <f>名簿!D37&amp;""</f>
        <v>学</v>
      </c>
      <c r="D57" s="110"/>
      <c r="E57" s="110"/>
      <c r="F57" s="110"/>
      <c r="G57" s="110"/>
      <c r="H57" s="110"/>
    </row>
    <row r="58" spans="2:8" x14ac:dyDescent="0.4">
      <c r="B58" t="str">
        <f>名簿!C38&amp;""</f>
        <v>中島</v>
      </c>
      <c r="C58" t="str">
        <f>名簿!D38&amp;""</f>
        <v>凛</v>
      </c>
      <c r="D58" s="110"/>
      <c r="E58" s="110"/>
      <c r="F58" s="110"/>
      <c r="G58" s="110"/>
      <c r="H58" s="110"/>
    </row>
    <row r="59" spans="2:8" x14ac:dyDescent="0.4">
      <c r="B59" t="str">
        <f>名簿!C39&amp;""</f>
        <v>石井</v>
      </c>
      <c r="C59" t="str">
        <f>名簿!D39&amp;""</f>
        <v>健太</v>
      </c>
      <c r="D59" s="110"/>
      <c r="E59" s="110"/>
      <c r="F59" s="110"/>
      <c r="G59" s="110"/>
      <c r="H59" s="110"/>
    </row>
    <row r="60" spans="2:8" x14ac:dyDescent="0.4">
      <c r="B60" t="str">
        <f>名簿!C40&amp;""</f>
        <v>小川</v>
      </c>
      <c r="C60" t="str">
        <f>名簿!D40&amp;""</f>
        <v>楓</v>
      </c>
      <c r="D60" s="110"/>
      <c r="E60" s="110"/>
      <c r="F60" s="110"/>
      <c r="G60" s="110"/>
      <c r="H60" s="110"/>
    </row>
    <row r="61" spans="2:8" x14ac:dyDescent="0.4">
      <c r="B61" t="str">
        <f>名簿!C41&amp;""</f>
        <v/>
      </c>
      <c r="C61" t="str">
        <f>名簿!D41&amp;""</f>
        <v/>
      </c>
      <c r="D61" s="111"/>
      <c r="E61" s="110"/>
      <c r="F61" s="111"/>
      <c r="G61" s="112"/>
      <c r="H61" s="112"/>
    </row>
    <row r="62" spans="2:8" x14ac:dyDescent="0.4">
      <c r="B62" t="str">
        <f>名簿!C42&amp;""</f>
        <v/>
      </c>
      <c r="C62" t="str">
        <f>名簿!D42&amp;""</f>
        <v/>
      </c>
      <c r="D62" s="111"/>
      <c r="E62" s="110"/>
      <c r="F62" s="111"/>
      <c r="G62" s="112"/>
      <c r="H62" s="112"/>
    </row>
    <row r="63" spans="2:8" x14ac:dyDescent="0.4">
      <c r="B63" t="str">
        <f>名簿!C43&amp;""</f>
        <v/>
      </c>
      <c r="C63" t="str">
        <f>名簿!D43&amp;""</f>
        <v/>
      </c>
      <c r="D63" s="111"/>
      <c r="E63" s="110"/>
      <c r="F63" s="111"/>
      <c r="G63" s="112"/>
      <c r="H63" s="112"/>
    </row>
    <row r="64" spans="2:8" x14ac:dyDescent="0.4">
      <c r="B64" t="str">
        <f>名簿!C44&amp;""</f>
        <v/>
      </c>
      <c r="C64" t="str">
        <f>名簿!D44&amp;""</f>
        <v/>
      </c>
      <c r="D64" s="111"/>
      <c r="E64" s="110"/>
      <c r="F64" s="111"/>
      <c r="G64" s="112"/>
      <c r="H64" s="112"/>
    </row>
    <row r="65" spans="2:8" x14ac:dyDescent="0.4">
      <c r="B65" t="str">
        <f>名簿!C45&amp;""</f>
        <v/>
      </c>
      <c r="C65" t="str">
        <f>名簿!D45&amp;""</f>
        <v/>
      </c>
      <c r="D65" s="111"/>
      <c r="E65" s="110"/>
      <c r="F65" s="111"/>
      <c r="G65" s="112"/>
      <c r="H65" s="112"/>
    </row>
    <row r="66" spans="2:8" x14ac:dyDescent="0.4">
      <c r="B66" t="str">
        <f>名簿!C46&amp;""</f>
        <v/>
      </c>
      <c r="C66" t="str">
        <f>名簿!D46&amp;""</f>
        <v/>
      </c>
      <c r="D66" s="111"/>
      <c r="E66" s="110"/>
      <c r="F66" s="111"/>
      <c r="G66" s="112"/>
      <c r="H66" s="112"/>
    </row>
    <row r="67" spans="2:8" x14ac:dyDescent="0.4">
      <c r="B67" t="str">
        <f>名簿!C47&amp;""</f>
        <v/>
      </c>
      <c r="C67" t="str">
        <f>名簿!D47&amp;""</f>
        <v/>
      </c>
      <c r="D67" s="111"/>
      <c r="E67" s="110"/>
      <c r="F67" s="111"/>
      <c r="G67" s="112"/>
      <c r="H67" s="112"/>
    </row>
    <row r="68" spans="2:8" x14ac:dyDescent="0.4">
      <c r="B68" t="str">
        <f>名簿!C48&amp;""</f>
        <v/>
      </c>
      <c r="C68" t="str">
        <f>名簿!D48&amp;""</f>
        <v/>
      </c>
      <c r="D68" s="111"/>
      <c r="E68" s="110"/>
      <c r="F68" s="111"/>
      <c r="G68" s="112"/>
      <c r="H68" s="112"/>
    </row>
    <row r="69" spans="2:8" x14ac:dyDescent="0.4">
      <c r="B69" t="str">
        <f>名簿!C49&amp;""</f>
        <v/>
      </c>
      <c r="C69" t="str">
        <f>名簿!D49&amp;""</f>
        <v/>
      </c>
      <c r="D69" s="111"/>
      <c r="E69" s="110"/>
      <c r="F69" s="111"/>
      <c r="G69" s="112"/>
      <c r="H69" s="112"/>
    </row>
    <row r="70" spans="2:8" x14ac:dyDescent="0.4">
      <c r="B70" t="str">
        <f>名簿!C50&amp;""</f>
        <v/>
      </c>
      <c r="C70" t="str">
        <f>名簿!D50&amp;""</f>
        <v/>
      </c>
      <c r="D70" s="111"/>
      <c r="E70" s="110"/>
      <c r="F70" s="111"/>
      <c r="G70" s="112"/>
      <c r="H70" s="112"/>
    </row>
  </sheetData>
  <sheetProtection algorithmName="SHA-512" hashValue="L9mZtIQkb3m0o3T+Vrh4S3imUeen9Uc9NuZIEjOr8615yKiJgtAyT0yP6YPlJfwBn/VjaTLzQG8z6td3rSS7bg==" saltValue="Pcqtca4wqhEHpDy00s4b5g==" spinCount="100000" sheet="1" objects="1" selectLockedCells="1"/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161925</xdr:colOff>
                    <xdr:row>7</xdr:row>
                    <xdr:rowOff>28575</xdr:rowOff>
                  </from>
                  <to>
                    <xdr:col>9</xdr:col>
                    <xdr:colOff>409575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161925</xdr:colOff>
                    <xdr:row>8</xdr:row>
                    <xdr:rowOff>38100</xdr:rowOff>
                  </from>
                  <to>
                    <xdr:col>9</xdr:col>
                    <xdr:colOff>409575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457200</xdr:colOff>
                    <xdr:row>7</xdr:row>
                    <xdr:rowOff>19050</xdr:rowOff>
                  </from>
                  <to>
                    <xdr:col>10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8</xdr:col>
                    <xdr:colOff>161925</xdr:colOff>
                    <xdr:row>10</xdr:row>
                    <xdr:rowOff>28575</xdr:rowOff>
                  </from>
                  <to>
                    <xdr:col>9</xdr:col>
                    <xdr:colOff>409575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9525</xdr:rowOff>
                  </from>
                  <to>
                    <xdr:col>3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  <x14:dataValidation type="list" allowBlank="1" showInputMessage="1" showErrorMessage="1" xr:uid="{8B643952-9881-4D7A-B3B2-59C9C9FE1FEF}">
          <x14:formula1>
            <xm:f>Setting!$B$3:$B$20</xm:f>
          </x14:formula1>
          <xm:sqref>D4</xm:sqref>
        </x14:dataValidation>
        <x14:dataValidation type="list" allowBlank="1" showInputMessage="1" showErrorMessage="1" xr:uid="{F83AA510-323C-497B-BEB7-1CFD45C06961}">
          <x14:formula1>
            <xm:f>Setting!$F$3:$F$13</xm:f>
          </x14:formula1>
          <xm:sqref>F4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workbookViewId="0">
      <selection activeCell="K8" sqref="K8"/>
    </sheetView>
  </sheetViews>
  <sheetFormatPr defaultColWidth="9" defaultRowHeight="16.5" x14ac:dyDescent="0.4"/>
  <cols>
    <col min="1" max="1" width="9.125" style="81" customWidth="1"/>
    <col min="2" max="2" width="8.625" style="81" customWidth="1"/>
    <col min="3" max="3" width="9.5" style="81" customWidth="1"/>
    <col min="4" max="26" width="6.625" style="81" customWidth="1"/>
    <col min="27" max="980" width="4.875" style="81" customWidth="1"/>
    <col min="981" max="16384" width="9" style="81"/>
  </cols>
  <sheetData>
    <row r="1" spans="1:795" s="147" customFormat="1" ht="24" x14ac:dyDescent="0.4">
      <c r="A1" s="135" t="s">
        <v>81</v>
      </c>
      <c r="B1" s="136"/>
      <c r="C1" s="136"/>
      <c r="AB1" s="81"/>
      <c r="AC1" s="81"/>
    </row>
    <row r="2" spans="1:795" s="147" customFormat="1" x14ac:dyDescent="0.4">
      <c r="AB2" s="81"/>
      <c r="AC2" s="81"/>
    </row>
    <row r="3" spans="1:795" s="149" customFormat="1" x14ac:dyDescent="0.4">
      <c r="A3" s="148" t="s">
        <v>104</v>
      </c>
      <c r="B3" s="147"/>
      <c r="AB3" s="137"/>
      <c r="AC3" s="137"/>
    </row>
    <row r="4" spans="1:795" s="137" customFormat="1" x14ac:dyDescent="0.4">
      <c r="A4" s="138"/>
      <c r="B4" s="138"/>
      <c r="C4" s="139" t="s">
        <v>6</v>
      </c>
      <c r="D4" s="137" t="s">
        <v>206</v>
      </c>
      <c r="E4" s="137" t="s">
        <v>208</v>
      </c>
      <c r="F4" s="137" t="s">
        <v>210</v>
      </c>
      <c r="G4" s="137" t="s">
        <v>211</v>
      </c>
      <c r="H4" s="137" t="s">
        <v>212</v>
      </c>
      <c r="I4" s="137" t="s">
        <v>213</v>
      </c>
      <c r="J4" s="137" t="s">
        <v>214</v>
      </c>
      <c r="K4" s="236" t="s">
        <v>216</v>
      </c>
      <c r="L4" s="137" t="s">
        <v>218</v>
      </c>
      <c r="M4" s="137" t="s">
        <v>223</v>
      </c>
      <c r="N4" s="137" t="s">
        <v>224</v>
      </c>
      <c r="O4" s="137" t="s">
        <v>241</v>
      </c>
      <c r="P4" s="137" t="s">
        <v>242</v>
      </c>
    </row>
    <row r="5" spans="1:795" s="140" customFormat="1" x14ac:dyDescent="0.4">
      <c r="A5" s="138"/>
      <c r="B5" s="138" t="s">
        <v>120</v>
      </c>
      <c r="C5" s="139" t="s">
        <v>4</v>
      </c>
      <c r="D5" s="140">
        <v>46103</v>
      </c>
      <c r="E5" s="140">
        <v>46103</v>
      </c>
      <c r="F5" s="140">
        <v>46103</v>
      </c>
      <c r="G5" s="140">
        <v>46103</v>
      </c>
      <c r="H5" s="140">
        <v>46103</v>
      </c>
      <c r="I5" s="140">
        <v>46103</v>
      </c>
      <c r="J5" s="140">
        <v>46103</v>
      </c>
      <c r="K5" s="237">
        <v>46103</v>
      </c>
      <c r="L5" s="140">
        <v>46103</v>
      </c>
      <c r="M5" s="140">
        <v>46103</v>
      </c>
      <c r="N5" s="140">
        <v>46103</v>
      </c>
      <c r="O5" s="140">
        <v>46103</v>
      </c>
      <c r="P5" s="140">
        <v>46103</v>
      </c>
    </row>
    <row r="6" spans="1:795" x14ac:dyDescent="0.4">
      <c r="A6" s="138"/>
      <c r="B6" s="138" t="s">
        <v>120</v>
      </c>
      <c r="C6" s="139" t="s">
        <v>0</v>
      </c>
      <c r="D6" s="81" t="s">
        <v>83</v>
      </c>
      <c r="E6" s="81" t="s">
        <v>83</v>
      </c>
      <c r="F6" s="81" t="s">
        <v>190</v>
      </c>
      <c r="G6" s="81" t="s">
        <v>190</v>
      </c>
      <c r="H6" s="81" t="s">
        <v>190</v>
      </c>
      <c r="I6" s="81" t="s">
        <v>190</v>
      </c>
      <c r="J6" s="81" t="s">
        <v>190</v>
      </c>
      <c r="K6" s="238" t="s">
        <v>83</v>
      </c>
      <c r="L6" s="81" t="s">
        <v>180</v>
      </c>
      <c r="M6" s="81" t="s">
        <v>180</v>
      </c>
      <c r="N6" s="81" t="s">
        <v>180</v>
      </c>
      <c r="O6" s="81" t="s">
        <v>194</v>
      </c>
      <c r="P6" s="81" t="s">
        <v>194</v>
      </c>
    </row>
    <row r="7" spans="1:795" x14ac:dyDescent="0.4">
      <c r="A7" s="138"/>
      <c r="B7" s="138"/>
      <c r="C7" s="139" t="s">
        <v>60</v>
      </c>
      <c r="D7" s="81" t="s">
        <v>130</v>
      </c>
      <c r="E7" s="81" t="s">
        <v>130</v>
      </c>
      <c r="F7" s="81" t="s">
        <v>130</v>
      </c>
      <c r="G7" s="81" t="s">
        <v>130</v>
      </c>
      <c r="H7" s="81" t="s">
        <v>130</v>
      </c>
      <c r="I7" s="81" t="s">
        <v>130</v>
      </c>
      <c r="J7" s="81" t="s">
        <v>130</v>
      </c>
      <c r="K7" s="238" t="s">
        <v>130</v>
      </c>
      <c r="L7" s="81" t="s">
        <v>130</v>
      </c>
      <c r="M7" s="81" t="s">
        <v>130</v>
      </c>
      <c r="N7" s="81" t="s">
        <v>130</v>
      </c>
      <c r="O7" s="81" t="s">
        <v>130</v>
      </c>
      <c r="P7" s="81" t="s">
        <v>130</v>
      </c>
    </row>
    <row r="8" spans="1:795" ht="75.75" customHeight="1" x14ac:dyDescent="0.4">
      <c r="A8" s="138"/>
      <c r="B8" s="138"/>
      <c r="C8" s="139" t="s">
        <v>1</v>
      </c>
      <c r="D8" s="141" t="s">
        <v>207</v>
      </c>
      <c r="E8" s="141" t="s">
        <v>207</v>
      </c>
      <c r="F8" s="141" t="s">
        <v>209</v>
      </c>
      <c r="G8" s="141" t="s">
        <v>209</v>
      </c>
      <c r="H8" s="141" t="s">
        <v>209</v>
      </c>
      <c r="I8" s="141" t="s">
        <v>209</v>
      </c>
      <c r="J8" s="141" t="s">
        <v>209</v>
      </c>
      <c r="K8" s="239" t="s">
        <v>215</v>
      </c>
      <c r="L8" s="141" t="s">
        <v>217</v>
      </c>
      <c r="M8" s="141" t="s">
        <v>220</v>
      </c>
      <c r="N8" s="141" t="s">
        <v>220</v>
      </c>
      <c r="O8" s="141" t="s">
        <v>240</v>
      </c>
      <c r="P8" s="141" t="s">
        <v>240</v>
      </c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1"/>
      <c r="AJ8" s="141"/>
      <c r="AK8" s="141"/>
      <c r="AL8" s="141"/>
      <c r="AM8" s="141"/>
      <c r="AN8" s="141"/>
      <c r="AO8" s="141"/>
      <c r="AP8" s="141"/>
      <c r="AQ8" s="141"/>
      <c r="AR8" s="141"/>
      <c r="AS8" s="141"/>
      <c r="AT8" s="141"/>
      <c r="AU8" s="141"/>
      <c r="AV8" s="141"/>
      <c r="AW8" s="141"/>
      <c r="AX8" s="141"/>
      <c r="AY8" s="141"/>
      <c r="AZ8" s="141"/>
      <c r="BA8" s="141"/>
      <c r="BB8" s="141"/>
      <c r="BC8" s="141"/>
      <c r="BD8" s="141"/>
      <c r="BE8" s="141"/>
      <c r="BF8" s="141"/>
      <c r="BG8" s="141"/>
      <c r="BH8" s="141"/>
      <c r="BI8" s="141"/>
      <c r="BJ8" s="141"/>
      <c r="BK8" s="141"/>
      <c r="BL8" s="141"/>
      <c r="BM8" s="141"/>
      <c r="BN8" s="141"/>
      <c r="BO8" s="141"/>
      <c r="BP8" s="141"/>
      <c r="BQ8" s="141"/>
      <c r="BR8" s="141"/>
      <c r="BS8" s="141"/>
      <c r="BT8" s="141"/>
      <c r="BU8" s="141"/>
      <c r="BV8" s="141"/>
      <c r="BW8" s="141"/>
      <c r="BX8" s="141"/>
      <c r="BY8" s="141"/>
      <c r="BZ8" s="141"/>
      <c r="CA8" s="141"/>
      <c r="CB8" s="141"/>
      <c r="CC8" s="141"/>
      <c r="CD8" s="141"/>
      <c r="CE8" s="141"/>
      <c r="CF8" s="141"/>
      <c r="CG8" s="141"/>
      <c r="CH8" s="141"/>
      <c r="CI8" s="141"/>
      <c r="CJ8" s="141"/>
      <c r="CK8" s="141"/>
      <c r="CL8" s="141"/>
      <c r="CM8" s="141"/>
      <c r="CN8" s="141"/>
      <c r="CO8" s="141"/>
      <c r="CP8" s="141"/>
      <c r="CQ8" s="141"/>
      <c r="CR8" s="141"/>
      <c r="CS8" s="141"/>
      <c r="CT8" s="141"/>
      <c r="CU8" s="141"/>
      <c r="CV8" s="141"/>
      <c r="CW8" s="141"/>
      <c r="CX8" s="141"/>
      <c r="CY8" s="141"/>
      <c r="CZ8" s="141"/>
      <c r="DA8" s="141"/>
      <c r="DB8" s="141"/>
      <c r="DC8" s="141"/>
      <c r="DD8" s="141"/>
      <c r="DE8" s="141"/>
      <c r="DF8" s="141"/>
      <c r="DG8" s="141"/>
      <c r="DH8" s="141"/>
      <c r="DI8" s="141"/>
      <c r="DJ8" s="141"/>
      <c r="DK8" s="141"/>
      <c r="DL8" s="141"/>
      <c r="DM8" s="141"/>
      <c r="DN8" s="141"/>
      <c r="DO8" s="141"/>
      <c r="DP8" s="141"/>
      <c r="DQ8" s="141"/>
      <c r="DR8" s="141"/>
      <c r="DS8" s="141"/>
      <c r="DT8" s="141"/>
      <c r="DU8" s="141"/>
      <c r="DV8" s="141"/>
      <c r="DW8" s="141"/>
      <c r="DX8" s="141"/>
      <c r="DY8" s="141"/>
      <c r="DZ8" s="141"/>
      <c r="EA8" s="141"/>
      <c r="EB8" s="141"/>
      <c r="EC8" s="141"/>
      <c r="ED8" s="141"/>
      <c r="EE8" s="141"/>
      <c r="EF8" s="141"/>
      <c r="EG8" s="141"/>
      <c r="EH8" s="141"/>
      <c r="EI8" s="141"/>
      <c r="EJ8" s="141"/>
      <c r="EK8" s="141"/>
      <c r="EL8" s="141"/>
      <c r="EM8" s="141"/>
      <c r="EN8" s="141"/>
      <c r="EO8" s="141"/>
      <c r="EP8" s="141"/>
      <c r="EQ8" s="141"/>
      <c r="ER8" s="141"/>
      <c r="ES8" s="141"/>
      <c r="ET8" s="141"/>
      <c r="EU8" s="141"/>
      <c r="EV8" s="141"/>
      <c r="EW8" s="141"/>
      <c r="EX8" s="141"/>
      <c r="EY8" s="141"/>
      <c r="EZ8" s="141"/>
      <c r="FA8" s="141"/>
      <c r="FB8" s="141"/>
      <c r="FC8" s="141"/>
      <c r="FD8" s="141"/>
      <c r="FE8" s="141"/>
      <c r="FF8" s="141"/>
      <c r="FG8" s="141"/>
      <c r="FH8" s="141"/>
      <c r="FI8" s="141"/>
      <c r="FJ8" s="141"/>
      <c r="FK8" s="141"/>
      <c r="FL8" s="141"/>
      <c r="FM8" s="141"/>
      <c r="FN8" s="141"/>
      <c r="FO8" s="141"/>
      <c r="FP8" s="141"/>
      <c r="FQ8" s="141"/>
      <c r="FR8" s="141"/>
      <c r="FS8" s="141"/>
      <c r="FT8" s="141"/>
      <c r="FU8" s="141"/>
      <c r="FV8" s="141"/>
      <c r="FW8" s="141"/>
      <c r="FX8" s="141"/>
      <c r="FY8" s="141"/>
      <c r="FZ8" s="141"/>
      <c r="GA8" s="141"/>
      <c r="GB8" s="141"/>
      <c r="GC8" s="141"/>
      <c r="GD8" s="141"/>
      <c r="GE8" s="141"/>
      <c r="GF8" s="141"/>
      <c r="GG8" s="141"/>
      <c r="GH8" s="141"/>
      <c r="GI8" s="141"/>
      <c r="GJ8" s="141"/>
      <c r="GK8" s="141"/>
      <c r="GL8" s="141"/>
      <c r="GM8" s="141"/>
      <c r="GN8" s="141"/>
      <c r="GO8" s="141"/>
      <c r="GP8" s="141"/>
      <c r="GQ8" s="141"/>
      <c r="GR8" s="141"/>
      <c r="GS8" s="141"/>
      <c r="GT8" s="141"/>
      <c r="GU8" s="141"/>
      <c r="GV8" s="141"/>
      <c r="GW8" s="141"/>
      <c r="GX8" s="141"/>
      <c r="GY8" s="141"/>
      <c r="GZ8" s="141"/>
      <c r="HA8" s="141"/>
      <c r="HB8" s="141"/>
      <c r="HC8" s="141"/>
      <c r="HD8" s="141"/>
      <c r="HE8" s="141"/>
      <c r="HF8" s="141"/>
      <c r="HG8" s="141"/>
      <c r="HH8" s="141"/>
      <c r="HI8" s="141"/>
      <c r="HJ8" s="141"/>
      <c r="HK8" s="141"/>
      <c r="HL8" s="141"/>
      <c r="HM8" s="141"/>
      <c r="HN8" s="141"/>
      <c r="HO8" s="141"/>
      <c r="HP8" s="141"/>
      <c r="HQ8" s="141"/>
      <c r="HR8" s="141"/>
      <c r="HS8" s="141"/>
      <c r="HT8" s="141"/>
      <c r="HU8" s="141"/>
      <c r="HV8" s="141"/>
      <c r="HW8" s="141"/>
      <c r="HX8" s="141"/>
      <c r="HY8" s="141"/>
      <c r="HZ8" s="141"/>
      <c r="IA8" s="141"/>
      <c r="IB8" s="141"/>
      <c r="IC8" s="141"/>
      <c r="ID8" s="141"/>
      <c r="IE8" s="141"/>
      <c r="IF8" s="141"/>
      <c r="IG8" s="141"/>
      <c r="IH8" s="141"/>
      <c r="II8" s="141"/>
      <c r="IJ8" s="141"/>
      <c r="IK8" s="141"/>
      <c r="IL8" s="141"/>
      <c r="IM8" s="141"/>
      <c r="IN8" s="141"/>
      <c r="IO8" s="141"/>
      <c r="IP8" s="141"/>
      <c r="IQ8" s="141"/>
      <c r="IR8" s="141"/>
      <c r="IS8" s="141"/>
      <c r="IT8" s="141"/>
      <c r="IU8" s="141"/>
      <c r="IV8" s="141"/>
      <c r="IW8" s="141"/>
      <c r="IX8" s="141"/>
      <c r="IY8" s="141"/>
      <c r="IZ8" s="141"/>
      <c r="JA8" s="141"/>
      <c r="JB8" s="141"/>
      <c r="JC8" s="141"/>
      <c r="JD8" s="141"/>
      <c r="JE8" s="141"/>
      <c r="JF8" s="141"/>
      <c r="JG8" s="141"/>
      <c r="JH8" s="141"/>
      <c r="JI8" s="141"/>
      <c r="JJ8" s="141"/>
      <c r="JK8" s="141"/>
      <c r="JL8" s="141"/>
      <c r="JM8" s="141"/>
      <c r="JN8" s="141"/>
      <c r="JO8" s="141"/>
      <c r="JP8" s="141"/>
      <c r="JQ8" s="141"/>
      <c r="JR8" s="141"/>
      <c r="JS8" s="141"/>
      <c r="JT8" s="141"/>
      <c r="JU8" s="141"/>
      <c r="JV8" s="141"/>
      <c r="JW8" s="141"/>
      <c r="JX8" s="141"/>
      <c r="JY8" s="141"/>
      <c r="JZ8" s="141"/>
      <c r="KA8" s="141"/>
      <c r="KB8" s="141"/>
      <c r="KC8" s="141"/>
      <c r="KD8" s="141"/>
      <c r="KE8" s="141"/>
      <c r="KF8" s="141"/>
      <c r="KG8" s="141"/>
      <c r="KH8" s="141"/>
      <c r="KI8" s="141"/>
      <c r="KJ8" s="141"/>
      <c r="KK8" s="141"/>
      <c r="KL8" s="141"/>
      <c r="KM8" s="141"/>
      <c r="KN8" s="141"/>
      <c r="KO8" s="141"/>
      <c r="KP8" s="141"/>
      <c r="KQ8" s="141"/>
      <c r="KR8" s="141"/>
      <c r="KS8" s="141"/>
      <c r="KT8" s="141"/>
      <c r="KU8" s="141"/>
      <c r="KV8" s="141"/>
      <c r="KW8" s="141"/>
      <c r="KX8" s="141"/>
      <c r="KY8" s="141"/>
      <c r="KZ8" s="141"/>
      <c r="LA8" s="141"/>
      <c r="LB8" s="141"/>
      <c r="LC8" s="141"/>
      <c r="LD8" s="141"/>
      <c r="LE8" s="141"/>
      <c r="LF8" s="141"/>
      <c r="LG8" s="141"/>
      <c r="LH8" s="141"/>
      <c r="LI8" s="141"/>
      <c r="LJ8" s="141"/>
      <c r="LK8" s="141"/>
      <c r="LL8" s="141"/>
      <c r="LM8" s="141"/>
      <c r="LN8" s="141"/>
      <c r="LO8" s="141"/>
      <c r="LP8" s="141"/>
      <c r="LQ8" s="141"/>
      <c r="LR8" s="141"/>
      <c r="LS8" s="141"/>
      <c r="LT8" s="141"/>
      <c r="LU8" s="141"/>
      <c r="LV8" s="141"/>
      <c r="LW8" s="141"/>
      <c r="LX8" s="141"/>
      <c r="LY8" s="141"/>
      <c r="LZ8" s="141"/>
      <c r="MA8" s="141"/>
      <c r="MB8" s="141"/>
      <c r="MC8" s="141"/>
      <c r="MD8" s="141"/>
      <c r="ME8" s="141"/>
      <c r="MF8" s="141"/>
      <c r="MG8" s="141"/>
      <c r="MH8" s="141"/>
      <c r="MI8" s="141"/>
      <c r="MJ8" s="141"/>
      <c r="MK8" s="141"/>
      <c r="ML8" s="141"/>
      <c r="MM8" s="141"/>
      <c r="MN8" s="141"/>
      <c r="MO8" s="141"/>
      <c r="MP8" s="141"/>
      <c r="MQ8" s="141"/>
      <c r="MR8" s="141"/>
      <c r="MS8" s="141"/>
      <c r="MT8" s="141"/>
      <c r="MU8" s="141"/>
      <c r="MV8" s="141"/>
      <c r="MW8" s="141"/>
      <c r="MX8" s="141"/>
      <c r="MY8" s="141"/>
      <c r="MZ8" s="141"/>
      <c r="NA8" s="141"/>
      <c r="NB8" s="141"/>
      <c r="NC8" s="141"/>
      <c r="ND8" s="141"/>
      <c r="NE8" s="141"/>
      <c r="NF8" s="141"/>
      <c r="NG8" s="141"/>
      <c r="NH8" s="141"/>
      <c r="NI8" s="141"/>
      <c r="NJ8" s="141"/>
      <c r="NK8" s="141"/>
      <c r="NL8" s="141"/>
      <c r="NM8" s="141"/>
      <c r="NN8" s="141"/>
      <c r="NO8" s="141"/>
      <c r="NP8" s="141"/>
      <c r="NQ8" s="141"/>
      <c r="NR8" s="141"/>
      <c r="NS8" s="141"/>
      <c r="NT8" s="141"/>
      <c r="NU8" s="141"/>
      <c r="NV8" s="141"/>
      <c r="NW8" s="141"/>
      <c r="NX8" s="141"/>
      <c r="NY8" s="141"/>
      <c r="NZ8" s="141"/>
      <c r="OA8" s="141"/>
      <c r="OB8" s="141"/>
      <c r="OC8" s="141"/>
      <c r="OD8" s="141"/>
      <c r="OE8" s="141"/>
      <c r="OF8" s="141"/>
      <c r="OG8" s="141"/>
      <c r="OH8" s="141"/>
      <c r="OI8" s="141"/>
      <c r="OJ8" s="141"/>
      <c r="OK8" s="141"/>
      <c r="OL8" s="141"/>
      <c r="OM8" s="141"/>
      <c r="ON8" s="141"/>
      <c r="OO8" s="141"/>
      <c r="OP8" s="141"/>
      <c r="OQ8" s="141"/>
      <c r="OR8" s="141"/>
      <c r="OS8" s="141"/>
      <c r="OT8" s="141"/>
      <c r="OU8" s="141"/>
      <c r="OV8" s="141"/>
      <c r="OW8" s="141"/>
      <c r="OX8" s="141"/>
      <c r="OY8" s="141"/>
      <c r="OZ8" s="141"/>
      <c r="PA8" s="141"/>
      <c r="PB8" s="141"/>
      <c r="PC8" s="141"/>
      <c r="PD8" s="141"/>
      <c r="PE8" s="141"/>
      <c r="PF8" s="141"/>
      <c r="PG8" s="141"/>
      <c r="PH8" s="141"/>
      <c r="PI8" s="141"/>
      <c r="PJ8" s="141"/>
      <c r="PK8" s="141"/>
      <c r="PL8" s="141"/>
      <c r="PM8" s="141"/>
      <c r="PN8" s="141"/>
      <c r="PO8" s="141"/>
      <c r="PP8" s="141"/>
      <c r="PQ8" s="141"/>
      <c r="PR8" s="141"/>
      <c r="PS8" s="141"/>
      <c r="PT8" s="141"/>
      <c r="PU8" s="141"/>
      <c r="PV8" s="141"/>
      <c r="PW8" s="141"/>
      <c r="PX8" s="141"/>
      <c r="PY8" s="141"/>
      <c r="PZ8" s="141"/>
      <c r="QA8" s="141"/>
      <c r="QB8" s="141"/>
      <c r="QC8" s="141"/>
      <c r="QD8" s="141"/>
      <c r="QE8" s="141"/>
      <c r="QF8" s="141"/>
      <c r="QG8" s="141"/>
      <c r="QH8" s="141"/>
      <c r="QI8" s="141"/>
      <c r="QJ8" s="141"/>
      <c r="QK8" s="141"/>
      <c r="QL8" s="141"/>
      <c r="QM8" s="141"/>
      <c r="QN8" s="141"/>
      <c r="QO8" s="141"/>
      <c r="QP8" s="141"/>
      <c r="QQ8" s="141"/>
      <c r="QR8" s="141"/>
      <c r="QS8" s="141"/>
      <c r="QT8" s="141"/>
      <c r="QU8" s="141"/>
      <c r="QV8" s="141"/>
      <c r="QW8" s="141"/>
      <c r="QX8" s="141"/>
      <c r="QY8" s="141"/>
      <c r="QZ8" s="141"/>
      <c r="RA8" s="141"/>
      <c r="RB8" s="141"/>
      <c r="RC8" s="141"/>
      <c r="RD8" s="141"/>
      <c r="RE8" s="141"/>
      <c r="RF8" s="141"/>
      <c r="RG8" s="141"/>
      <c r="RH8" s="141"/>
      <c r="RI8" s="141"/>
      <c r="RJ8" s="141"/>
      <c r="RK8" s="141"/>
      <c r="RL8" s="141"/>
      <c r="RM8" s="141"/>
      <c r="RN8" s="141"/>
      <c r="RO8" s="141"/>
      <c r="RP8" s="141"/>
      <c r="RQ8" s="141"/>
      <c r="RR8" s="141"/>
      <c r="RS8" s="141"/>
      <c r="RT8" s="141"/>
      <c r="RU8" s="141"/>
      <c r="RV8" s="141"/>
      <c r="RW8" s="141"/>
      <c r="RX8" s="141"/>
      <c r="RY8" s="141"/>
      <c r="RZ8" s="141"/>
      <c r="SA8" s="141"/>
      <c r="SB8" s="141"/>
      <c r="SC8" s="141"/>
      <c r="SD8" s="141"/>
      <c r="SE8" s="141"/>
      <c r="SF8" s="141"/>
      <c r="SG8" s="141"/>
      <c r="SH8" s="141"/>
      <c r="SI8" s="141"/>
      <c r="SJ8" s="141"/>
      <c r="SK8" s="141"/>
      <c r="SL8" s="141"/>
      <c r="SM8" s="141"/>
      <c r="SN8" s="141"/>
      <c r="SO8" s="141"/>
      <c r="SP8" s="141"/>
      <c r="SQ8" s="141"/>
      <c r="SR8" s="141"/>
      <c r="SS8" s="141"/>
      <c r="ST8" s="141"/>
      <c r="SU8" s="141"/>
      <c r="SV8" s="141"/>
      <c r="SW8" s="141"/>
      <c r="SX8" s="141"/>
      <c r="SY8" s="141"/>
      <c r="SZ8" s="141"/>
      <c r="TA8" s="141"/>
      <c r="TB8" s="141"/>
      <c r="TC8" s="141"/>
      <c r="TD8" s="141"/>
      <c r="TE8" s="141"/>
      <c r="TF8" s="141"/>
      <c r="TG8" s="141"/>
      <c r="TH8" s="141"/>
      <c r="TI8" s="141"/>
      <c r="TJ8" s="141"/>
      <c r="TK8" s="141"/>
      <c r="TL8" s="141"/>
      <c r="TM8" s="141"/>
      <c r="TN8" s="141"/>
      <c r="TO8" s="141"/>
      <c r="TP8" s="141"/>
      <c r="TQ8" s="141"/>
      <c r="TR8" s="141"/>
      <c r="TS8" s="141"/>
      <c r="TT8" s="141"/>
      <c r="TU8" s="141"/>
      <c r="TV8" s="141"/>
      <c r="TW8" s="141"/>
      <c r="TX8" s="141"/>
      <c r="TY8" s="141"/>
      <c r="TZ8" s="141"/>
      <c r="UA8" s="141"/>
      <c r="UB8" s="141"/>
      <c r="UC8" s="141"/>
      <c r="UD8" s="141"/>
      <c r="UE8" s="141"/>
      <c r="UF8" s="141"/>
      <c r="UG8" s="141"/>
      <c r="UH8" s="141"/>
      <c r="UI8" s="141"/>
      <c r="UJ8" s="141"/>
      <c r="UK8" s="141"/>
      <c r="UL8" s="141"/>
      <c r="UM8" s="141"/>
      <c r="UN8" s="141"/>
      <c r="UO8" s="141"/>
      <c r="UP8" s="141"/>
      <c r="UQ8" s="141"/>
      <c r="UR8" s="141"/>
      <c r="US8" s="141"/>
      <c r="UT8" s="141"/>
      <c r="UU8" s="141"/>
      <c r="UV8" s="141"/>
      <c r="UW8" s="141"/>
      <c r="UX8" s="141"/>
      <c r="UY8" s="141"/>
      <c r="UZ8" s="141"/>
      <c r="VA8" s="141"/>
      <c r="VB8" s="141"/>
      <c r="VC8" s="141"/>
      <c r="VD8" s="141"/>
      <c r="VE8" s="141"/>
      <c r="VF8" s="141"/>
      <c r="VG8" s="141"/>
      <c r="VH8" s="141"/>
      <c r="VI8" s="141"/>
      <c r="VJ8" s="141"/>
      <c r="VK8" s="141"/>
      <c r="VL8" s="141"/>
      <c r="VM8" s="141"/>
      <c r="VN8" s="141"/>
      <c r="VO8" s="141"/>
      <c r="VP8" s="141"/>
      <c r="VQ8" s="141"/>
      <c r="VR8" s="141"/>
      <c r="VS8" s="141"/>
      <c r="VT8" s="141"/>
      <c r="VU8" s="141"/>
      <c r="VV8" s="141"/>
      <c r="VW8" s="141"/>
      <c r="VX8" s="141"/>
      <c r="VY8" s="141"/>
      <c r="VZ8" s="141"/>
      <c r="WA8" s="141"/>
      <c r="WB8" s="141"/>
      <c r="WC8" s="141"/>
      <c r="WD8" s="141"/>
      <c r="WE8" s="141"/>
      <c r="WF8" s="141"/>
      <c r="WG8" s="141"/>
      <c r="WH8" s="141"/>
      <c r="WI8" s="141"/>
      <c r="WJ8" s="141"/>
      <c r="WK8" s="141"/>
      <c r="WL8" s="141"/>
      <c r="WM8" s="141"/>
      <c r="WN8" s="141"/>
      <c r="WO8" s="141"/>
      <c r="WP8" s="141"/>
      <c r="WQ8" s="141"/>
      <c r="WR8" s="141"/>
      <c r="WS8" s="141"/>
      <c r="WT8" s="141"/>
      <c r="WU8" s="141"/>
      <c r="WV8" s="141"/>
      <c r="WW8" s="141"/>
      <c r="WX8" s="141"/>
      <c r="WY8" s="141"/>
      <c r="WZ8" s="141"/>
      <c r="XA8" s="141"/>
      <c r="XB8" s="141"/>
      <c r="XC8" s="141"/>
      <c r="XD8" s="141"/>
      <c r="XE8" s="141"/>
      <c r="XF8" s="141"/>
      <c r="XG8" s="141"/>
      <c r="XH8" s="141"/>
      <c r="XI8" s="141"/>
      <c r="XJ8" s="141"/>
      <c r="XK8" s="141"/>
      <c r="XL8" s="141"/>
      <c r="XM8" s="141"/>
      <c r="XN8" s="141"/>
      <c r="XO8" s="141"/>
      <c r="XP8" s="141"/>
      <c r="XQ8" s="141"/>
      <c r="XR8" s="141"/>
      <c r="XS8" s="141"/>
      <c r="XT8" s="141"/>
      <c r="XU8" s="141"/>
      <c r="XV8" s="141"/>
      <c r="XW8" s="141"/>
      <c r="XX8" s="141"/>
      <c r="XY8" s="141"/>
      <c r="XZ8" s="141"/>
      <c r="YA8" s="141"/>
      <c r="YB8" s="141"/>
      <c r="YC8" s="141"/>
      <c r="YD8" s="141"/>
      <c r="YE8" s="141"/>
      <c r="YF8" s="141"/>
      <c r="YG8" s="141"/>
      <c r="YH8" s="141"/>
      <c r="YI8" s="141"/>
      <c r="YJ8" s="141"/>
      <c r="YK8" s="141"/>
      <c r="YL8" s="141"/>
      <c r="YM8" s="141"/>
      <c r="YN8" s="141"/>
      <c r="YO8" s="141"/>
      <c r="YP8" s="141"/>
      <c r="YQ8" s="141"/>
      <c r="YR8" s="141"/>
      <c r="YS8" s="141"/>
      <c r="YT8" s="141"/>
      <c r="YU8" s="141"/>
      <c r="YV8" s="141"/>
      <c r="YW8" s="141"/>
      <c r="YX8" s="141"/>
      <c r="YY8" s="141"/>
      <c r="YZ8" s="141"/>
      <c r="ZA8" s="141"/>
      <c r="ZB8" s="141"/>
      <c r="ZC8" s="141"/>
      <c r="ZD8" s="141"/>
      <c r="ZE8" s="141"/>
      <c r="ZF8" s="141"/>
      <c r="ZG8" s="141"/>
      <c r="ZH8" s="141"/>
      <c r="ZI8" s="141"/>
      <c r="ZJ8" s="141"/>
      <c r="ZK8" s="141"/>
      <c r="ZL8" s="141"/>
      <c r="ZM8" s="141"/>
      <c r="ZN8" s="141"/>
      <c r="ZO8" s="141"/>
      <c r="ZP8" s="141"/>
      <c r="ZQ8" s="141"/>
      <c r="ZR8" s="141"/>
      <c r="ZS8" s="141"/>
      <c r="ZT8" s="141"/>
      <c r="ZU8" s="141"/>
      <c r="ZV8" s="141"/>
      <c r="ZW8" s="141"/>
      <c r="ZX8" s="141"/>
      <c r="ZY8" s="141"/>
      <c r="ZZ8" s="141"/>
      <c r="AAA8" s="141"/>
      <c r="AAB8" s="141"/>
      <c r="AAC8" s="141"/>
      <c r="AAD8" s="141"/>
      <c r="AAE8" s="141"/>
      <c r="AAF8" s="141"/>
      <c r="AAG8" s="141"/>
      <c r="AAH8" s="141"/>
      <c r="AAI8" s="141"/>
      <c r="AAJ8" s="141"/>
      <c r="AAK8" s="141"/>
      <c r="AAL8" s="141"/>
      <c r="AAM8" s="141"/>
      <c r="AAN8" s="141"/>
      <c r="AAO8" s="141"/>
      <c r="AAP8" s="141"/>
      <c r="AAQ8" s="141"/>
      <c r="AAR8" s="141"/>
      <c r="AAS8" s="141"/>
      <c r="AAT8" s="141"/>
      <c r="AAU8" s="141"/>
      <c r="AAV8" s="141"/>
      <c r="AAW8" s="141"/>
      <c r="AAX8" s="141"/>
      <c r="AAY8" s="141"/>
      <c r="AAZ8" s="141"/>
      <c r="ABA8" s="141"/>
      <c r="ABB8" s="141"/>
      <c r="ABC8" s="141"/>
      <c r="ABD8" s="141"/>
      <c r="ABE8" s="141"/>
      <c r="ABF8" s="141"/>
      <c r="ABG8" s="141"/>
      <c r="ABH8" s="141"/>
      <c r="ABI8" s="141"/>
      <c r="ABJ8" s="141"/>
      <c r="ABK8" s="141"/>
      <c r="ABL8" s="141"/>
      <c r="ABM8" s="141"/>
      <c r="ABN8" s="141"/>
      <c r="ABO8" s="141"/>
      <c r="ABP8" s="141"/>
      <c r="ABQ8" s="141"/>
      <c r="ABR8" s="141"/>
      <c r="ABS8" s="141"/>
      <c r="ABT8" s="141"/>
      <c r="ABU8" s="141"/>
      <c r="ABV8" s="141"/>
      <c r="ABW8" s="141"/>
      <c r="ABX8" s="141"/>
      <c r="ABY8" s="141"/>
      <c r="ABZ8" s="141"/>
      <c r="ACA8" s="141"/>
      <c r="ACB8" s="141"/>
      <c r="ACC8" s="141"/>
      <c r="ACD8" s="141"/>
      <c r="ACE8" s="141"/>
      <c r="ACF8" s="141"/>
      <c r="ACG8" s="141"/>
      <c r="ACH8" s="141"/>
      <c r="ACI8" s="141"/>
      <c r="ACJ8" s="141"/>
      <c r="ACK8" s="141"/>
      <c r="ACL8" s="141"/>
      <c r="ACM8" s="141"/>
      <c r="ACN8" s="141"/>
      <c r="ACO8" s="141"/>
      <c r="ACP8" s="141"/>
      <c r="ACQ8" s="141"/>
      <c r="ACR8" s="141"/>
      <c r="ACS8" s="141"/>
      <c r="ACT8" s="141"/>
      <c r="ACU8" s="141"/>
      <c r="ACV8" s="141"/>
      <c r="ACW8" s="141"/>
      <c r="ACX8" s="141"/>
      <c r="ACY8" s="141"/>
      <c r="ACZ8" s="141"/>
      <c r="ADA8" s="141"/>
      <c r="ADB8" s="141"/>
      <c r="ADC8" s="141"/>
      <c r="ADD8" s="141"/>
      <c r="ADE8" s="141"/>
      <c r="ADF8" s="141"/>
      <c r="ADG8" s="141"/>
      <c r="ADH8" s="141"/>
      <c r="ADI8" s="141"/>
      <c r="ADJ8" s="141"/>
      <c r="ADK8" s="141"/>
      <c r="ADL8" s="141"/>
      <c r="ADM8" s="141"/>
      <c r="ADN8" s="141"/>
      <c r="ADO8" s="141"/>
    </row>
    <row r="9" spans="1:795" x14ac:dyDescent="0.4">
      <c r="A9" s="138"/>
      <c r="B9" s="138"/>
      <c r="C9" s="139" t="s">
        <v>2</v>
      </c>
      <c r="D9" s="81" t="s">
        <v>181</v>
      </c>
      <c r="E9" s="81" t="s">
        <v>182</v>
      </c>
      <c r="F9" s="81" t="s">
        <v>181</v>
      </c>
      <c r="G9" s="81" t="s">
        <v>182</v>
      </c>
      <c r="H9" s="81" t="s">
        <v>183</v>
      </c>
      <c r="I9" s="81" t="s">
        <v>181</v>
      </c>
      <c r="J9" s="81" t="s">
        <v>182</v>
      </c>
      <c r="K9" s="238" t="s">
        <v>182</v>
      </c>
      <c r="L9" s="81" t="s">
        <v>181</v>
      </c>
      <c r="M9" s="81" t="s">
        <v>183</v>
      </c>
      <c r="N9" s="81" t="s">
        <v>183</v>
      </c>
      <c r="O9" s="81" t="s">
        <v>181</v>
      </c>
      <c r="P9" s="81" t="s">
        <v>181</v>
      </c>
    </row>
    <row r="10" spans="1:795" x14ac:dyDescent="0.4">
      <c r="A10" s="142"/>
      <c r="B10" s="142"/>
      <c r="C10" s="143" t="s">
        <v>61</v>
      </c>
      <c r="K10" s="238"/>
    </row>
    <row r="11" spans="1:795" x14ac:dyDescent="0.4">
      <c r="A11" s="144"/>
      <c r="B11" s="144"/>
      <c r="C11" s="145" t="s">
        <v>3</v>
      </c>
      <c r="D11" s="81">
        <v>100</v>
      </c>
      <c r="E11" s="81">
        <v>100</v>
      </c>
      <c r="F11" s="81">
        <v>100</v>
      </c>
      <c r="G11" s="81">
        <v>100</v>
      </c>
      <c r="H11" s="81">
        <v>100</v>
      </c>
      <c r="I11" s="81">
        <v>100</v>
      </c>
      <c r="J11" s="81">
        <v>100</v>
      </c>
      <c r="K11" s="238">
        <v>100</v>
      </c>
      <c r="L11" s="81">
        <v>100</v>
      </c>
      <c r="M11" s="81">
        <v>30</v>
      </c>
      <c r="N11" s="81">
        <v>30</v>
      </c>
      <c r="O11" s="81">
        <v>150</v>
      </c>
      <c r="P11" s="81">
        <v>200</v>
      </c>
    </row>
    <row r="12" spans="1:795" x14ac:dyDescent="0.4">
      <c r="A12" s="144"/>
      <c r="B12" s="144"/>
      <c r="C12" s="145" t="s">
        <v>50</v>
      </c>
      <c r="D12" s="81">
        <v>90</v>
      </c>
      <c r="K12" s="238"/>
      <c r="O12" s="81">
        <v>100</v>
      </c>
      <c r="P12" s="81">
        <v>150</v>
      </c>
    </row>
    <row r="13" spans="1:795" x14ac:dyDescent="0.4">
      <c r="A13" s="144"/>
      <c r="B13" s="144"/>
      <c r="C13" s="145" t="s">
        <v>51</v>
      </c>
      <c r="D13" s="81">
        <v>10</v>
      </c>
      <c r="K13" s="238"/>
      <c r="P13" s="81">
        <v>100</v>
      </c>
    </row>
    <row r="14" spans="1:795" x14ac:dyDescent="0.4">
      <c r="A14" s="144"/>
      <c r="B14" s="144"/>
      <c r="C14" s="145" t="s">
        <v>49</v>
      </c>
      <c r="K14" s="238"/>
      <c r="M14" s="81" t="s">
        <v>221</v>
      </c>
      <c r="N14" s="81" t="s">
        <v>222</v>
      </c>
      <c r="O14" s="81" t="s">
        <v>221</v>
      </c>
    </row>
    <row r="15" spans="1:795" x14ac:dyDescent="0.4">
      <c r="A15" s="144"/>
      <c r="B15" s="144"/>
      <c r="C15" s="145" t="s">
        <v>52</v>
      </c>
      <c r="K15" s="238"/>
      <c r="O15" s="81">
        <v>100</v>
      </c>
      <c r="P15" s="81">
        <v>100</v>
      </c>
    </row>
    <row r="16" spans="1:795" x14ac:dyDescent="0.4">
      <c r="A16" s="144"/>
      <c r="B16" s="144"/>
      <c r="C16" s="145" t="s">
        <v>54</v>
      </c>
      <c r="K16" s="238"/>
      <c r="P16" s="81">
        <v>50</v>
      </c>
    </row>
    <row r="17" spans="1:29" x14ac:dyDescent="0.4">
      <c r="A17" s="144"/>
      <c r="B17" s="144"/>
      <c r="C17" s="145" t="s">
        <v>55</v>
      </c>
      <c r="D17" s="81">
        <f t="shared" ref="D17:P17" si="0">調整後配点計算(D11,D12,D14,D15)</f>
        <v>90</v>
      </c>
      <c r="E17" s="81">
        <f t="shared" si="0"/>
        <v>100</v>
      </c>
      <c r="F17" s="81">
        <f t="shared" si="0"/>
        <v>100</v>
      </c>
      <c r="G17" s="81">
        <f t="shared" si="0"/>
        <v>100</v>
      </c>
      <c r="H17" s="81">
        <f t="shared" si="0"/>
        <v>100</v>
      </c>
      <c r="I17" s="81">
        <f t="shared" si="0"/>
        <v>100</v>
      </c>
      <c r="J17" s="81">
        <f t="shared" si="0"/>
        <v>100</v>
      </c>
      <c r="K17" s="238">
        <f t="shared" si="0"/>
        <v>100</v>
      </c>
      <c r="L17" s="81">
        <f t="shared" si="0"/>
        <v>100</v>
      </c>
      <c r="M17" s="81">
        <f t="shared" si="0"/>
        <v>5.48</v>
      </c>
      <c r="N17" s="81">
        <f t="shared" si="0"/>
        <v>4.91</v>
      </c>
      <c r="O17" s="81">
        <f t="shared" si="0"/>
        <v>100</v>
      </c>
      <c r="P17" s="81">
        <f t="shared" si="0"/>
        <v>100</v>
      </c>
    </row>
    <row r="18" spans="1:29" x14ac:dyDescent="0.4">
      <c r="A18" s="153"/>
      <c r="B18" s="153"/>
      <c r="C18" s="154" t="s">
        <v>40</v>
      </c>
      <c r="D18" s="81">
        <v>1</v>
      </c>
      <c r="E18" s="81">
        <v>2</v>
      </c>
      <c r="F18" s="81">
        <v>1</v>
      </c>
      <c r="G18" s="81">
        <v>1</v>
      </c>
      <c r="H18" s="81">
        <v>1</v>
      </c>
      <c r="I18" s="81">
        <v>1</v>
      </c>
      <c r="J18" s="81">
        <v>1</v>
      </c>
      <c r="K18" s="238">
        <v>1</v>
      </c>
      <c r="L18" s="81">
        <v>1</v>
      </c>
      <c r="M18" s="81">
        <v>1</v>
      </c>
      <c r="N18" s="81">
        <v>1</v>
      </c>
      <c r="O18" s="81">
        <v>1</v>
      </c>
      <c r="P18" s="81">
        <v>1</v>
      </c>
    </row>
    <row r="19" spans="1:29" x14ac:dyDescent="0.4">
      <c r="A19" s="155"/>
      <c r="B19" s="155"/>
      <c r="C19" s="156" t="s">
        <v>7</v>
      </c>
      <c r="D19" s="81">
        <f t="shared" ref="D19:P19" si="1">IFERROR(AVERAGEIFS(D23:D62,D23:D62,"&lt;&gt;N",D23:D62,"&lt;&gt;-"),"")</f>
        <v>79.58620689655173</v>
      </c>
      <c r="E19" s="81">
        <f t="shared" si="1"/>
        <v>72.900000000000006</v>
      </c>
      <c r="F19" s="81">
        <f t="shared" si="1"/>
        <v>85.733333333333334</v>
      </c>
      <c r="G19" s="81">
        <f t="shared" si="1"/>
        <v>85.896551724137936</v>
      </c>
      <c r="H19" s="81">
        <f t="shared" si="1"/>
        <v>81.666666666666671</v>
      </c>
      <c r="I19" s="81">
        <f t="shared" si="1"/>
        <v>85.678571428571431</v>
      </c>
      <c r="J19" s="81">
        <f t="shared" si="1"/>
        <v>82.433333333333337</v>
      </c>
      <c r="K19" s="238" t="str">
        <f t="shared" si="1"/>
        <v/>
      </c>
      <c r="L19" s="81" t="str">
        <f t="shared" si="1"/>
        <v/>
      </c>
      <c r="M19" s="81">
        <f t="shared" si="1"/>
        <v>15.5</v>
      </c>
      <c r="N19" s="81">
        <f t="shared" si="1"/>
        <v>15.5</v>
      </c>
      <c r="O19" s="81">
        <f t="shared" si="1"/>
        <v>20.5</v>
      </c>
      <c r="P19" s="81">
        <f t="shared" si="1"/>
        <v>114.5</v>
      </c>
    </row>
    <row r="20" spans="1:29" x14ac:dyDescent="0.4">
      <c r="A20" s="155"/>
      <c r="B20" s="155"/>
      <c r="C20" s="156" t="s">
        <v>8</v>
      </c>
      <c r="D20" s="81">
        <f t="array" ref="D20">IFERROR(MEDIAN(IF((D23:D62&lt;&gt;"N")*(D23:D62&lt;&gt;"-")*(D23:D62&lt;&gt;""),D23:D62)),"")</f>
        <v>85</v>
      </c>
      <c r="E20" s="81">
        <f t="array" ref="E20">IFERROR(MEDIAN(IF((E23:E62&lt;&gt;"N")*(E23:E62&lt;&gt;"-")*(E23:E62&lt;&gt;""),E23:E62)),"")</f>
        <v>83.5</v>
      </c>
      <c r="F20" s="81">
        <f t="array" ref="F20">IFERROR(MEDIAN(IF((F23:F62&lt;&gt;"N")*(F23:F62&lt;&gt;"-")*(F23:F62&lt;&gt;""),F23:F62)),"")</f>
        <v>88.5</v>
      </c>
      <c r="G20" s="81">
        <f t="array" ref="G20">IFERROR(MEDIAN(IF((G23:G62&lt;&gt;"N")*(G23:G62&lt;&gt;"-")*(G23:G62&lt;&gt;""),G23:G62)),"")</f>
        <v>85</v>
      </c>
      <c r="H20" s="81">
        <f t="array" ref="H20">IFERROR(MEDIAN(IF((H23:H62&lt;&gt;"N")*(H23:H62&lt;&gt;"-")*(H23:H62&lt;&gt;""),H23:H62)),"")</f>
        <v>79.5</v>
      </c>
      <c r="I20" s="81">
        <f t="array" ref="I20">IFERROR(MEDIAN(IF((I23:I62&lt;&gt;"N")*(I23:I62&lt;&gt;"-")*(I23:I62&lt;&gt;""),I23:I62)),"")</f>
        <v>88.5</v>
      </c>
      <c r="J20" s="81">
        <f t="array" ref="J20">IFERROR(MEDIAN(IF((J23:J62&lt;&gt;"N")*(J23:J62&lt;&gt;"-")*(J23:J62&lt;&gt;""),J23:J62)),"")</f>
        <v>80.5</v>
      </c>
      <c r="K20" s="238" t="str">
        <f t="array" ref="K20">IFERROR(MEDIAN(IF((K23:K62&lt;&gt;"N")*(K23:K62&lt;&gt;"-")*(K23:K62&lt;&gt;""),K23:K62)),"")</f>
        <v/>
      </c>
      <c r="L20" s="81" t="str">
        <f t="array" ref="L20">IFERROR(MEDIAN(IF((L23:L62&lt;&gt;"N")*(L23:L62&lt;&gt;"-")*(L23:L62&lt;&gt;""),L23:L62)),"")</f>
        <v/>
      </c>
      <c r="M20" s="81">
        <f t="array" ref="M20">IFERROR(MEDIAN(IF((M23:M62&lt;&gt;"N")*(M23:M62&lt;&gt;"-")*(M23:M62&lt;&gt;""),M23:M62)),"")</f>
        <v>15.5</v>
      </c>
      <c r="N20" s="81">
        <f t="array" ref="N20">IFERROR(MEDIAN(IF((N23:N62&lt;&gt;"N")*(N23:N62&lt;&gt;"-")*(N23:N62&lt;&gt;""),N23:N62)),"")</f>
        <v>15.5</v>
      </c>
      <c r="O20" s="81">
        <f t="array" ref="O20">IFERROR(MEDIAN(IF((O23:O62&lt;&gt;"N")*(O23:O62&lt;&gt;"-")*(O23:O62&lt;&gt;""),O23:O62)),"")</f>
        <v>13.5</v>
      </c>
      <c r="P20" s="81">
        <f t="array" ref="P20">IFERROR(MEDIAN(IF((P23:P62&lt;&gt;"N")*(P23:P62&lt;&gt;"-")*(P23:P62&lt;&gt;""),P23:P62)),"")</f>
        <v>114.5</v>
      </c>
    </row>
    <row r="21" spans="1:29" x14ac:dyDescent="0.4">
      <c r="A21" s="155"/>
      <c r="B21" s="155"/>
      <c r="C21" s="156" t="s">
        <v>9</v>
      </c>
      <c r="D21" s="81">
        <f t="array" ref="D21">IFERROR(_xlfn.STDEV.P(IF((D23:D62&lt;&gt;"N")*(D23:D62&lt;&gt;"-")*(D23:D62&lt;&gt;""),D23:D62)),"")</f>
        <v>14.121436972351304</v>
      </c>
      <c r="E21" s="81">
        <f t="array" ref="E21">IFERROR(_xlfn.STDEV.P(IF((E23:E62&lt;&gt;"N")*(E23:E62&lt;&gt;"-")*(E23:E62&lt;&gt;""),E23:E62)),"")</f>
        <v>24.245068227029872</v>
      </c>
      <c r="F21" s="81">
        <f t="array" ref="F21">IFERROR(_xlfn.STDEV.P(IF((F23:F62&lt;&gt;"N")*(F23:F62&lt;&gt;"-")*(F23:F62&lt;&gt;""),F23:F62)),"")</f>
        <v>7.9746821601588325</v>
      </c>
      <c r="G21" s="81">
        <f t="array" ref="G21">IFERROR(_xlfn.STDEV.P(IF((G23:G62&lt;&gt;"N")*(G23:G62&lt;&gt;"-")*(G23:G62&lt;&gt;""),G23:G62)),"")</f>
        <v>9.1702097429711618</v>
      </c>
      <c r="H21" s="81">
        <f t="array" ref="H21">IFERROR(_xlfn.STDEV.P(IF((H23:H62&lt;&gt;"N")*(H23:H62&lt;&gt;"-")*(H23:H62&lt;&gt;""),H23:H62)),"")</f>
        <v>7.9930525388545322</v>
      </c>
      <c r="I21" s="81">
        <f t="array" ref="I21">IFERROR(_xlfn.STDEV.P(IF((I23:I62&lt;&gt;"N")*(I23:I62&lt;&gt;"-")*(I23:I62&lt;&gt;""),I23:I62)),"")</f>
        <v>9.1341336731615481</v>
      </c>
      <c r="J21" s="81">
        <f t="array" ref="J21">IFERROR(_xlfn.STDEV.P(IF((J23:J62&lt;&gt;"N")*(J23:J62&lt;&gt;"-")*(J23:J62&lt;&gt;""),J23:J62)),"")</f>
        <v>6.8053083855342082</v>
      </c>
      <c r="K21" s="238" t="str">
        <f t="array" ref="K21">IFERROR(_xlfn.STDEV.P(IF((K23:K62&lt;&gt;"N")*(K23:K62&lt;&gt;"-")*(K23:K62&lt;&gt;""),K23:K62)),"")</f>
        <v/>
      </c>
      <c r="L21" s="81" t="str">
        <f t="array" ref="L21">IFERROR(_xlfn.STDEV.P(IF((L23:L62&lt;&gt;"N")*(L23:L62&lt;&gt;"-")*(L23:L62&lt;&gt;""),L23:L62)),"")</f>
        <v/>
      </c>
      <c r="M21" s="81">
        <f t="array" ref="M21">IFERROR(_xlfn.STDEV.P(IF((M23:M62&lt;&gt;"N")*(M23:M62&lt;&gt;"-")*(M23:M62&lt;&gt;""),M23:M62)),"")</f>
        <v>8.6554414483991895</v>
      </c>
      <c r="N21" s="81">
        <f t="array" ref="N21">IFERROR(_xlfn.STDEV.P(IF((N23:N62&lt;&gt;"N")*(N23:N62&lt;&gt;"-")*(N23:N62&lt;&gt;""),N23:N62)),"")</f>
        <v>8.6554414483991895</v>
      </c>
      <c r="O21" s="81">
        <f t="array" ref="O21">IFERROR(_xlfn.STDEV.P(IF((O23:O62&lt;&gt;"N")*(O23:O62&lt;&gt;"-")*(O23:O62&lt;&gt;""),O23:O62)),"")</f>
        <v>23.119616490475501</v>
      </c>
      <c r="P21" s="81">
        <f t="array" ref="P21">IFERROR(_xlfn.STDEV.P(IF((P23:P62&lt;&gt;"N")*(P23:P62&lt;&gt;"-")*(P23:P62&lt;&gt;""),P23:P62)),"")</f>
        <v>8.6554414483991895</v>
      </c>
    </row>
    <row r="22" spans="1:29" ht="17.25" thickBot="1" x14ac:dyDescent="0.45">
      <c r="A22" s="157"/>
      <c r="B22" s="158"/>
      <c r="C22" s="157" t="s">
        <v>11</v>
      </c>
      <c r="D22" s="81">
        <f t="shared" ref="D22:P22" si="2">IFERROR(D21/D19,"")</f>
        <v>0.17743573318812297</v>
      </c>
      <c r="E22" s="81">
        <f t="shared" si="2"/>
        <v>0.3325798110703686</v>
      </c>
      <c r="F22" s="81">
        <f t="shared" si="2"/>
        <v>9.3017288026735992E-2</v>
      </c>
      <c r="G22" s="81">
        <f t="shared" si="2"/>
        <v>0.10675876457092079</v>
      </c>
      <c r="H22" s="81">
        <f t="shared" si="2"/>
        <v>9.7874112720667733E-2</v>
      </c>
      <c r="I22" s="81">
        <f t="shared" si="2"/>
        <v>0.10660931340080172</v>
      </c>
      <c r="J22" s="81">
        <f t="shared" si="2"/>
        <v>8.2555297843116146E-2</v>
      </c>
      <c r="K22" s="238" t="str">
        <f t="shared" si="2"/>
        <v/>
      </c>
      <c r="L22" s="81" t="str">
        <f t="shared" si="2"/>
        <v/>
      </c>
      <c r="M22" s="81">
        <f t="shared" si="2"/>
        <v>0.55841557731607672</v>
      </c>
      <c r="N22" s="81">
        <f t="shared" si="2"/>
        <v>0.55841557731607672</v>
      </c>
      <c r="O22" s="81">
        <f t="shared" si="2"/>
        <v>1.1277861702670977</v>
      </c>
      <c r="P22" s="81">
        <f t="shared" si="2"/>
        <v>7.559337509518943E-2</v>
      </c>
    </row>
    <row r="23" spans="1:29" s="150" customFormat="1" x14ac:dyDescent="0.35">
      <c r="A23" s="146" t="str">
        <f>名簿!B11&amp;""</f>
        <v>10010001</v>
      </c>
      <c r="B23" s="146" t="str">
        <f>名簿!C11&amp;""</f>
        <v>田中</v>
      </c>
      <c r="C23" s="146" t="str">
        <f>名簿!D11&amp;""</f>
        <v>雄介</v>
      </c>
      <c r="D23" s="252">
        <v>74</v>
      </c>
      <c r="E23" s="252">
        <v>85</v>
      </c>
      <c r="F23" s="252">
        <v>85</v>
      </c>
      <c r="G23" s="252">
        <v>72</v>
      </c>
      <c r="H23" s="252">
        <v>94</v>
      </c>
      <c r="I23" s="252">
        <v>91</v>
      </c>
      <c r="J23" s="252">
        <v>86</v>
      </c>
      <c r="K23" s="253" t="s">
        <v>243</v>
      </c>
      <c r="L23" s="252" t="s">
        <v>205</v>
      </c>
      <c r="M23" s="252">
        <v>1</v>
      </c>
      <c r="N23" s="252">
        <v>1</v>
      </c>
      <c r="O23" s="252">
        <v>100</v>
      </c>
      <c r="P23" s="252">
        <v>100</v>
      </c>
      <c r="AB23" s="172"/>
      <c r="AC23" s="172"/>
    </row>
    <row r="24" spans="1:29" x14ac:dyDescent="0.35">
      <c r="A24" s="146" t="str">
        <f>名簿!B12&amp;""</f>
        <v>10010002</v>
      </c>
      <c r="B24" s="146" t="str">
        <f>名簿!C12&amp;""</f>
        <v>佐藤</v>
      </c>
      <c r="C24" s="146" t="str">
        <f>名簿!D12&amp;""</f>
        <v>凛</v>
      </c>
      <c r="D24" s="254">
        <v>95</v>
      </c>
      <c r="E24" s="254">
        <v>74</v>
      </c>
      <c r="F24" s="254">
        <v>70</v>
      </c>
      <c r="G24" s="254">
        <v>77</v>
      </c>
      <c r="H24" s="254">
        <v>86</v>
      </c>
      <c r="I24" s="254">
        <v>93</v>
      </c>
      <c r="J24" s="254">
        <v>91</v>
      </c>
      <c r="K24" s="255" t="s">
        <v>243</v>
      </c>
      <c r="L24" s="254" t="s">
        <v>205</v>
      </c>
      <c r="M24" s="254">
        <v>2</v>
      </c>
      <c r="N24" s="254">
        <v>2</v>
      </c>
      <c r="O24" s="254">
        <v>81</v>
      </c>
      <c r="P24" s="254">
        <v>101</v>
      </c>
      <c r="AB24" s="173"/>
      <c r="AC24" s="173"/>
    </row>
    <row r="25" spans="1:29" x14ac:dyDescent="0.35">
      <c r="A25" s="146" t="str">
        <f>名簿!B13&amp;""</f>
        <v>10010003</v>
      </c>
      <c r="B25" s="146" t="str">
        <f>名簿!C13&amp;""</f>
        <v>鈴木</v>
      </c>
      <c r="C25" s="146" t="str">
        <f>名簿!D13&amp;""</f>
        <v>誠</v>
      </c>
      <c r="D25" s="254">
        <v>86</v>
      </c>
      <c r="E25" s="254">
        <v>96</v>
      </c>
      <c r="F25" s="254">
        <v>95</v>
      </c>
      <c r="G25" s="254">
        <v>100</v>
      </c>
      <c r="H25" s="254">
        <v>78</v>
      </c>
      <c r="I25" s="254">
        <v>71</v>
      </c>
      <c r="J25" s="254">
        <v>78</v>
      </c>
      <c r="K25" s="255" t="s">
        <v>243</v>
      </c>
      <c r="L25" s="254" t="s">
        <v>205</v>
      </c>
      <c r="M25" s="254">
        <v>3</v>
      </c>
      <c r="N25" s="254">
        <v>3</v>
      </c>
      <c r="O25" s="254">
        <v>64</v>
      </c>
      <c r="P25" s="254">
        <v>102</v>
      </c>
      <c r="AB25" s="173"/>
      <c r="AC25" s="173"/>
    </row>
    <row r="26" spans="1:29" x14ac:dyDescent="0.35">
      <c r="A26" s="146" t="str">
        <f>名簿!B14&amp;""</f>
        <v>10010004</v>
      </c>
      <c r="B26" s="146" t="str">
        <f>名簿!C14&amp;""</f>
        <v>高橋</v>
      </c>
      <c r="C26" s="146" t="str">
        <f>名簿!D14&amp;""</f>
        <v>美優</v>
      </c>
      <c r="D26" s="254">
        <v>64</v>
      </c>
      <c r="E26" s="254">
        <v>7</v>
      </c>
      <c r="F26" s="254">
        <v>95</v>
      </c>
      <c r="G26" s="254">
        <v>80</v>
      </c>
      <c r="H26" s="254">
        <v>76</v>
      </c>
      <c r="I26" s="254">
        <v>75</v>
      </c>
      <c r="J26" s="254">
        <v>84</v>
      </c>
      <c r="K26" s="255" t="s">
        <v>243</v>
      </c>
      <c r="L26" s="254" t="s">
        <v>205</v>
      </c>
      <c r="M26" s="254">
        <v>4</v>
      </c>
      <c r="N26" s="254">
        <v>4</v>
      </c>
      <c r="O26" s="254">
        <v>49</v>
      </c>
      <c r="P26" s="254">
        <v>103</v>
      </c>
      <c r="AB26" s="173"/>
      <c r="AC26" s="173"/>
    </row>
    <row r="27" spans="1:29" x14ac:dyDescent="0.35">
      <c r="A27" s="146" t="str">
        <f>名簿!B15&amp;""</f>
        <v>10010005</v>
      </c>
      <c r="B27" s="146" t="str">
        <f>名簿!C15&amp;""</f>
        <v>渡辺</v>
      </c>
      <c r="C27" s="146" t="str">
        <f>名簿!D15&amp;""</f>
        <v>誠</v>
      </c>
      <c r="D27" s="254">
        <v>85</v>
      </c>
      <c r="E27" s="254">
        <v>98</v>
      </c>
      <c r="F27" s="254">
        <v>90</v>
      </c>
      <c r="G27" s="254">
        <v>97</v>
      </c>
      <c r="H27" s="254">
        <v>82</v>
      </c>
      <c r="I27" s="254">
        <v>86</v>
      </c>
      <c r="J27" s="254">
        <v>81</v>
      </c>
      <c r="K27" s="255" t="s">
        <v>243</v>
      </c>
      <c r="L27" s="254" t="s">
        <v>205</v>
      </c>
      <c r="M27" s="254">
        <v>5</v>
      </c>
      <c r="N27" s="254">
        <v>5</v>
      </c>
      <c r="O27" s="254">
        <v>36</v>
      </c>
      <c r="P27" s="254">
        <v>104</v>
      </c>
      <c r="AB27" s="173"/>
      <c r="AC27" s="173"/>
    </row>
    <row r="28" spans="1:29" x14ac:dyDescent="0.35">
      <c r="A28" s="146" t="str">
        <f>名簿!B16&amp;""</f>
        <v>10010006</v>
      </c>
      <c r="B28" s="146" t="str">
        <f>名簿!C16&amp;""</f>
        <v>伊藤</v>
      </c>
      <c r="C28" s="146" t="str">
        <f>名簿!D16&amp;""</f>
        <v>凛</v>
      </c>
      <c r="D28" s="254">
        <v>98</v>
      </c>
      <c r="E28" s="254">
        <v>64</v>
      </c>
      <c r="F28" s="254">
        <v>89</v>
      </c>
      <c r="G28" s="254">
        <v>74</v>
      </c>
      <c r="H28" s="254">
        <v>82</v>
      </c>
      <c r="I28" s="254">
        <v>88</v>
      </c>
      <c r="J28" s="254">
        <v>92</v>
      </c>
      <c r="K28" s="255" t="s">
        <v>243</v>
      </c>
      <c r="L28" s="254" t="s">
        <v>205</v>
      </c>
      <c r="M28" s="254">
        <v>6</v>
      </c>
      <c r="N28" s="254">
        <v>6</v>
      </c>
      <c r="O28" s="254">
        <v>25</v>
      </c>
      <c r="P28" s="254">
        <v>105</v>
      </c>
      <c r="AB28" s="173"/>
      <c r="AC28" s="173"/>
    </row>
    <row r="29" spans="1:29" x14ac:dyDescent="0.35">
      <c r="A29" s="146" t="str">
        <f>名簿!B17&amp;""</f>
        <v>10010007</v>
      </c>
      <c r="B29" s="146" t="str">
        <f>名簿!C17&amp;""</f>
        <v>山本</v>
      </c>
      <c r="C29" s="146" t="str">
        <f>名簿!D17&amp;""</f>
        <v>太郎</v>
      </c>
      <c r="D29" s="254">
        <v>99</v>
      </c>
      <c r="E29" s="254">
        <v>85</v>
      </c>
      <c r="F29" s="254">
        <v>76</v>
      </c>
      <c r="G29" s="254">
        <v>84</v>
      </c>
      <c r="H29" s="254">
        <v>71</v>
      </c>
      <c r="I29" s="254">
        <v>98</v>
      </c>
      <c r="J29" s="254">
        <v>80</v>
      </c>
      <c r="K29" s="255" t="s">
        <v>243</v>
      </c>
      <c r="L29" s="254" t="s">
        <v>205</v>
      </c>
      <c r="M29" s="254">
        <v>7</v>
      </c>
      <c r="N29" s="254">
        <v>7</v>
      </c>
      <c r="O29" s="254">
        <v>16</v>
      </c>
      <c r="P29" s="254">
        <v>106</v>
      </c>
      <c r="AB29" s="173"/>
      <c r="AC29" s="173"/>
    </row>
    <row r="30" spans="1:29" x14ac:dyDescent="0.35">
      <c r="A30" s="146" t="str">
        <f>名簿!B18&amp;""</f>
        <v>10010008</v>
      </c>
      <c r="B30" s="146" t="str">
        <f>名簿!C18&amp;""</f>
        <v>中村</v>
      </c>
      <c r="C30" s="146" t="str">
        <f>名簿!D18&amp;""</f>
        <v>真央</v>
      </c>
      <c r="D30" s="254">
        <v>88</v>
      </c>
      <c r="E30" s="254">
        <v>89</v>
      </c>
      <c r="F30" s="254">
        <v>93</v>
      </c>
      <c r="G30" s="254">
        <v>93</v>
      </c>
      <c r="H30" s="254">
        <v>77</v>
      </c>
      <c r="I30" s="254">
        <v>80</v>
      </c>
      <c r="J30" s="254">
        <v>85</v>
      </c>
      <c r="K30" s="255" t="s">
        <v>243</v>
      </c>
      <c r="L30" s="254" t="s">
        <v>205</v>
      </c>
      <c r="M30" s="254">
        <v>8</v>
      </c>
      <c r="N30" s="254">
        <v>8</v>
      </c>
      <c r="O30" s="254">
        <v>9</v>
      </c>
      <c r="P30" s="254">
        <v>107</v>
      </c>
      <c r="AB30" s="173"/>
      <c r="AC30" s="173"/>
    </row>
    <row r="31" spans="1:29" x14ac:dyDescent="0.35">
      <c r="A31" s="146" t="str">
        <f>名簿!B19&amp;""</f>
        <v>10010009</v>
      </c>
      <c r="B31" s="146" t="str">
        <f>名簿!C19&amp;""</f>
        <v>小林</v>
      </c>
      <c r="C31" s="146" t="str">
        <f>名簿!D19&amp;""</f>
        <v>浩</v>
      </c>
      <c r="D31" s="254">
        <v>77</v>
      </c>
      <c r="E31" s="254">
        <v>46</v>
      </c>
      <c r="F31" s="254">
        <v>71</v>
      </c>
      <c r="G31" s="254"/>
      <c r="H31" s="254">
        <v>85</v>
      </c>
      <c r="I31" s="254"/>
      <c r="J31" s="254">
        <v>72</v>
      </c>
      <c r="K31" s="255" t="s">
        <v>243</v>
      </c>
      <c r="L31" s="254" t="s">
        <v>205</v>
      </c>
      <c r="M31" s="254">
        <v>9</v>
      </c>
      <c r="N31" s="254">
        <v>9</v>
      </c>
      <c r="O31" s="254">
        <v>4</v>
      </c>
      <c r="P31" s="254">
        <v>108</v>
      </c>
      <c r="AB31" s="173"/>
      <c r="AC31" s="173"/>
    </row>
    <row r="32" spans="1:29" x14ac:dyDescent="0.35">
      <c r="A32" s="146" t="str">
        <f>名簿!B20&amp;""</f>
        <v>10010010</v>
      </c>
      <c r="B32" s="146" t="str">
        <f>名簿!C20&amp;""</f>
        <v>加藤</v>
      </c>
      <c r="C32" s="146" t="str">
        <f>名簿!D20&amp;""</f>
        <v>さくら</v>
      </c>
      <c r="D32" s="254">
        <v>85</v>
      </c>
      <c r="E32" s="254">
        <v>85</v>
      </c>
      <c r="F32" s="254">
        <v>92</v>
      </c>
      <c r="G32" s="254">
        <v>93</v>
      </c>
      <c r="H32" s="254">
        <v>97</v>
      </c>
      <c r="I32" s="254"/>
      <c r="J32" s="254">
        <v>84</v>
      </c>
      <c r="K32" s="255" t="s">
        <v>243</v>
      </c>
      <c r="L32" s="254" t="s">
        <v>205</v>
      </c>
      <c r="M32" s="254">
        <v>10</v>
      </c>
      <c r="N32" s="254">
        <v>10</v>
      </c>
      <c r="O32" s="254">
        <v>1</v>
      </c>
      <c r="P32" s="254">
        <v>109</v>
      </c>
      <c r="AB32" s="173"/>
      <c r="AC32" s="173"/>
    </row>
    <row r="33" spans="1:29" x14ac:dyDescent="0.35">
      <c r="A33" s="146" t="str">
        <f>名簿!B21&amp;""</f>
        <v>10010011</v>
      </c>
      <c r="B33" s="146" t="str">
        <f>名簿!C21&amp;""</f>
        <v>吉田</v>
      </c>
      <c r="C33" s="146" t="str">
        <f>名簿!D21&amp;""</f>
        <v>亮</v>
      </c>
      <c r="D33" s="254">
        <v>54</v>
      </c>
      <c r="E33" s="254">
        <v>97</v>
      </c>
      <c r="F33" s="254">
        <v>91</v>
      </c>
      <c r="G33" s="254">
        <v>79</v>
      </c>
      <c r="H33" s="254">
        <v>79</v>
      </c>
      <c r="I33" s="254">
        <v>77</v>
      </c>
      <c r="J33" s="254">
        <v>79</v>
      </c>
      <c r="K33" s="255" t="s">
        <v>243</v>
      </c>
      <c r="L33" s="254" t="s">
        <v>205</v>
      </c>
      <c r="M33" s="254">
        <v>11</v>
      </c>
      <c r="N33" s="254">
        <v>11</v>
      </c>
      <c r="O33" s="254">
        <v>2</v>
      </c>
      <c r="P33" s="254">
        <v>110</v>
      </c>
      <c r="AB33" s="173"/>
      <c r="AC33" s="173"/>
    </row>
    <row r="34" spans="1:29" x14ac:dyDescent="0.35">
      <c r="A34" s="146" t="str">
        <f>名簿!B22&amp;""</f>
        <v>10010012</v>
      </c>
      <c r="B34" s="146" t="str">
        <f>名簿!C22&amp;""</f>
        <v>山田</v>
      </c>
      <c r="C34" s="146" t="str">
        <f>名簿!D22&amp;""</f>
        <v>愛</v>
      </c>
      <c r="D34" s="254">
        <v>68</v>
      </c>
      <c r="E34" s="254">
        <v>65</v>
      </c>
      <c r="F34" s="254">
        <v>97</v>
      </c>
      <c r="G34" s="254">
        <v>81</v>
      </c>
      <c r="H34" s="254">
        <v>99</v>
      </c>
      <c r="I34" s="254">
        <v>93</v>
      </c>
      <c r="J34" s="254">
        <v>86</v>
      </c>
      <c r="K34" s="255" t="s">
        <v>243</v>
      </c>
      <c r="L34" s="254" t="s">
        <v>205</v>
      </c>
      <c r="M34" s="254">
        <v>12</v>
      </c>
      <c r="N34" s="254">
        <v>12</v>
      </c>
      <c r="O34" s="254">
        <v>3</v>
      </c>
      <c r="P34" s="254">
        <v>111</v>
      </c>
      <c r="AB34" s="173"/>
      <c r="AC34" s="173"/>
    </row>
    <row r="35" spans="1:29" x14ac:dyDescent="0.35">
      <c r="A35" s="146" t="str">
        <f>名簿!B23&amp;""</f>
        <v>10010013</v>
      </c>
      <c r="B35" s="146" t="str">
        <f>名簿!C23&amp;""</f>
        <v>佐々木</v>
      </c>
      <c r="C35" s="146" t="str">
        <f>名簿!D23&amp;""</f>
        <v>浩</v>
      </c>
      <c r="D35" s="254">
        <v>59</v>
      </c>
      <c r="E35" s="254">
        <v>94</v>
      </c>
      <c r="F35" s="254">
        <v>94</v>
      </c>
      <c r="G35" s="254">
        <v>85</v>
      </c>
      <c r="H35" s="254">
        <v>92</v>
      </c>
      <c r="I35" s="254">
        <v>89</v>
      </c>
      <c r="J35" s="254">
        <v>91</v>
      </c>
      <c r="K35" s="255" t="s">
        <v>243</v>
      </c>
      <c r="L35" s="254" t="s">
        <v>205</v>
      </c>
      <c r="M35" s="254">
        <v>13</v>
      </c>
      <c r="N35" s="254">
        <v>13</v>
      </c>
      <c r="O35" s="254">
        <v>4</v>
      </c>
      <c r="P35" s="254">
        <v>112</v>
      </c>
      <c r="AB35" s="173"/>
      <c r="AC35" s="173"/>
    </row>
    <row r="36" spans="1:29" x14ac:dyDescent="0.35">
      <c r="A36" s="146" t="str">
        <f>名簿!B24&amp;""</f>
        <v>10010014</v>
      </c>
      <c r="B36" s="146" t="str">
        <f>名簿!C24&amp;""</f>
        <v>山口</v>
      </c>
      <c r="C36" s="146" t="str">
        <f>名簿!D24&amp;""</f>
        <v>結衣</v>
      </c>
      <c r="D36" s="254" t="s">
        <v>205</v>
      </c>
      <c r="E36" s="254">
        <v>85</v>
      </c>
      <c r="F36" s="254">
        <v>92</v>
      </c>
      <c r="G36" s="254">
        <v>82</v>
      </c>
      <c r="H36" s="254">
        <v>82</v>
      </c>
      <c r="I36" s="254">
        <v>98</v>
      </c>
      <c r="J36" s="254">
        <v>86</v>
      </c>
      <c r="K36" s="255" t="s">
        <v>243</v>
      </c>
      <c r="L36" s="254" t="s">
        <v>205</v>
      </c>
      <c r="M36" s="254">
        <v>14</v>
      </c>
      <c r="N36" s="254">
        <v>14</v>
      </c>
      <c r="O36" s="254">
        <v>5</v>
      </c>
      <c r="P36" s="254">
        <v>113</v>
      </c>
      <c r="AB36" s="173"/>
      <c r="AC36" s="173"/>
    </row>
    <row r="37" spans="1:29" x14ac:dyDescent="0.35">
      <c r="A37" s="146" t="str">
        <f>名簿!B25&amp;""</f>
        <v>10010015</v>
      </c>
      <c r="B37" s="146" t="str">
        <f>名簿!C25&amp;""</f>
        <v>松本</v>
      </c>
      <c r="C37" s="146" t="str">
        <f>名簿!D25&amp;""</f>
        <v>浩</v>
      </c>
      <c r="D37" s="254">
        <v>48</v>
      </c>
      <c r="E37" s="254">
        <v>12</v>
      </c>
      <c r="F37" s="254">
        <v>82</v>
      </c>
      <c r="G37" s="254">
        <v>97</v>
      </c>
      <c r="H37" s="254">
        <v>72</v>
      </c>
      <c r="I37" s="254">
        <v>77</v>
      </c>
      <c r="J37" s="254">
        <v>77</v>
      </c>
      <c r="K37" s="255" t="s">
        <v>243</v>
      </c>
      <c r="L37" s="254" t="s">
        <v>205</v>
      </c>
      <c r="M37" s="254">
        <v>15</v>
      </c>
      <c r="N37" s="254">
        <v>15</v>
      </c>
      <c r="O37" s="254">
        <v>6</v>
      </c>
      <c r="P37" s="254">
        <v>114</v>
      </c>
      <c r="AB37" s="173"/>
      <c r="AC37" s="173"/>
    </row>
    <row r="38" spans="1:29" x14ac:dyDescent="0.35">
      <c r="A38" s="146" t="str">
        <f>名簿!B26&amp;""</f>
        <v>10010016</v>
      </c>
      <c r="B38" s="146" t="str">
        <f>名簿!C26&amp;""</f>
        <v>井上</v>
      </c>
      <c r="C38" s="146" t="str">
        <f>名簿!D26&amp;""</f>
        <v>結衣</v>
      </c>
      <c r="D38" s="254">
        <v>95</v>
      </c>
      <c r="E38" s="254">
        <v>65</v>
      </c>
      <c r="F38" s="254">
        <v>82</v>
      </c>
      <c r="G38" s="254">
        <v>81</v>
      </c>
      <c r="H38" s="254">
        <v>72</v>
      </c>
      <c r="I38" s="254">
        <v>89</v>
      </c>
      <c r="J38" s="254">
        <v>80</v>
      </c>
      <c r="K38" s="255" t="s">
        <v>243</v>
      </c>
      <c r="L38" s="254" t="s">
        <v>205</v>
      </c>
      <c r="M38" s="254">
        <v>16</v>
      </c>
      <c r="N38" s="254">
        <v>16</v>
      </c>
      <c r="O38" s="254">
        <v>7</v>
      </c>
      <c r="P38" s="254">
        <v>115</v>
      </c>
      <c r="AB38" s="173"/>
      <c r="AC38" s="173"/>
    </row>
    <row r="39" spans="1:29" x14ac:dyDescent="0.35">
      <c r="A39" s="146" t="str">
        <f>名簿!B27&amp;""</f>
        <v>10010017</v>
      </c>
      <c r="B39" s="146" t="str">
        <f>名簿!C27&amp;""</f>
        <v>木村</v>
      </c>
      <c r="C39" s="146" t="str">
        <f>名簿!D27&amp;""</f>
        <v>学</v>
      </c>
      <c r="D39" s="254">
        <v>68</v>
      </c>
      <c r="E39" s="254">
        <v>95</v>
      </c>
      <c r="F39" s="254">
        <v>94</v>
      </c>
      <c r="G39" s="254">
        <v>97</v>
      </c>
      <c r="H39" s="254">
        <v>75</v>
      </c>
      <c r="I39" s="254">
        <v>79</v>
      </c>
      <c r="J39" s="254">
        <v>79</v>
      </c>
      <c r="K39" s="255" t="s">
        <v>243</v>
      </c>
      <c r="L39" s="254" t="s">
        <v>205</v>
      </c>
      <c r="M39" s="254">
        <v>17</v>
      </c>
      <c r="N39" s="254">
        <v>17</v>
      </c>
      <c r="O39" s="254">
        <v>8</v>
      </c>
      <c r="P39" s="254">
        <v>116</v>
      </c>
      <c r="AB39" s="173"/>
      <c r="AC39" s="173"/>
    </row>
    <row r="40" spans="1:29" x14ac:dyDescent="0.35">
      <c r="A40" s="146" t="str">
        <f>名簿!B28&amp;""</f>
        <v>10010018</v>
      </c>
      <c r="B40" s="146" t="str">
        <f>名簿!C28&amp;""</f>
        <v>林</v>
      </c>
      <c r="C40" s="146" t="str">
        <f>名簿!D28&amp;""</f>
        <v>凛</v>
      </c>
      <c r="D40" s="254">
        <v>75</v>
      </c>
      <c r="E40" s="254">
        <v>85</v>
      </c>
      <c r="F40" s="254">
        <v>88</v>
      </c>
      <c r="G40" s="254">
        <v>91</v>
      </c>
      <c r="H40" s="254">
        <v>74</v>
      </c>
      <c r="I40" s="254">
        <v>76</v>
      </c>
      <c r="J40" s="254">
        <v>77</v>
      </c>
      <c r="K40" s="255" t="s">
        <v>243</v>
      </c>
      <c r="L40" s="254" t="s">
        <v>205</v>
      </c>
      <c r="M40" s="254">
        <v>18</v>
      </c>
      <c r="N40" s="254">
        <v>18</v>
      </c>
      <c r="O40" s="254">
        <v>9</v>
      </c>
      <c r="P40" s="254">
        <v>117</v>
      </c>
      <c r="AB40" s="173"/>
      <c r="AC40" s="173"/>
    </row>
    <row r="41" spans="1:29" x14ac:dyDescent="0.35">
      <c r="A41" s="146" t="str">
        <f>名簿!B29&amp;""</f>
        <v>10010019</v>
      </c>
      <c r="B41" s="146" t="str">
        <f>名簿!C29&amp;""</f>
        <v>斎藤</v>
      </c>
      <c r="C41" s="146" t="str">
        <f>名簿!D29&amp;""</f>
        <v>翔太</v>
      </c>
      <c r="D41" s="254">
        <v>85</v>
      </c>
      <c r="E41" s="254">
        <v>78</v>
      </c>
      <c r="F41" s="254">
        <v>93</v>
      </c>
      <c r="G41" s="254">
        <v>86</v>
      </c>
      <c r="H41" s="254">
        <v>81</v>
      </c>
      <c r="I41" s="254">
        <v>90</v>
      </c>
      <c r="J41" s="254">
        <v>84</v>
      </c>
      <c r="K41" s="255" t="s">
        <v>243</v>
      </c>
      <c r="L41" s="254" t="s">
        <v>205</v>
      </c>
      <c r="M41" s="254">
        <v>19</v>
      </c>
      <c r="N41" s="254">
        <v>19</v>
      </c>
      <c r="O41" s="254">
        <v>10</v>
      </c>
      <c r="P41" s="254">
        <v>118</v>
      </c>
      <c r="AB41" s="173"/>
      <c r="AC41" s="173"/>
    </row>
    <row r="42" spans="1:29" x14ac:dyDescent="0.35">
      <c r="A42" s="146" t="str">
        <f>名簿!B30&amp;""</f>
        <v>10010020</v>
      </c>
      <c r="B42" s="146" t="str">
        <f>名簿!C30&amp;""</f>
        <v>清水</v>
      </c>
      <c r="C42" s="146" t="str">
        <f>名簿!D30&amp;""</f>
        <v>結衣</v>
      </c>
      <c r="D42" s="254">
        <v>87</v>
      </c>
      <c r="E42" s="254">
        <v>98</v>
      </c>
      <c r="F42" s="254">
        <v>82</v>
      </c>
      <c r="G42" s="254">
        <v>95</v>
      </c>
      <c r="H42" s="254">
        <v>75</v>
      </c>
      <c r="I42" s="254">
        <v>78</v>
      </c>
      <c r="J42" s="254">
        <v>71</v>
      </c>
      <c r="K42" s="255" t="s">
        <v>243</v>
      </c>
      <c r="L42" s="254" t="s">
        <v>205</v>
      </c>
      <c r="M42" s="254">
        <v>20</v>
      </c>
      <c r="N42" s="254">
        <v>20</v>
      </c>
      <c r="O42" s="254">
        <v>11</v>
      </c>
      <c r="P42" s="254">
        <v>119</v>
      </c>
      <c r="AB42" s="173"/>
      <c r="AC42" s="173"/>
    </row>
    <row r="43" spans="1:29" x14ac:dyDescent="0.35">
      <c r="A43" s="146" t="str">
        <f>名簿!B31&amp;""</f>
        <v>10010021</v>
      </c>
      <c r="B43" s="146" t="str">
        <f>名簿!C31&amp;""</f>
        <v>山崎</v>
      </c>
      <c r="C43" s="146" t="str">
        <f>名簿!D31&amp;""</f>
        <v>一郎</v>
      </c>
      <c r="D43" s="254">
        <v>99</v>
      </c>
      <c r="E43" s="254">
        <v>68</v>
      </c>
      <c r="F43" s="254">
        <v>89</v>
      </c>
      <c r="G43" s="254">
        <v>95</v>
      </c>
      <c r="H43" s="254">
        <v>76</v>
      </c>
      <c r="I43" s="254">
        <v>75</v>
      </c>
      <c r="J43" s="254">
        <v>75</v>
      </c>
      <c r="K43" s="255" t="s">
        <v>243</v>
      </c>
      <c r="L43" s="254" t="s">
        <v>205</v>
      </c>
      <c r="M43" s="254">
        <v>21</v>
      </c>
      <c r="N43" s="254">
        <v>21</v>
      </c>
      <c r="O43" s="254">
        <v>12</v>
      </c>
      <c r="P43" s="254">
        <v>120</v>
      </c>
      <c r="AB43" s="173"/>
      <c r="AC43" s="173"/>
    </row>
    <row r="44" spans="1:29" x14ac:dyDescent="0.35">
      <c r="A44" s="146" t="str">
        <f>名簿!B32&amp;""</f>
        <v>10010022</v>
      </c>
      <c r="B44" s="146" t="str">
        <f>名簿!C32&amp;""</f>
        <v>森</v>
      </c>
      <c r="C44" s="146" t="str">
        <f>名簿!D32&amp;""</f>
        <v>凛</v>
      </c>
      <c r="D44" s="254">
        <v>87</v>
      </c>
      <c r="E44" s="254">
        <v>95</v>
      </c>
      <c r="F44" s="254">
        <v>84</v>
      </c>
      <c r="G44" s="254">
        <v>99</v>
      </c>
      <c r="H44" s="254">
        <v>92</v>
      </c>
      <c r="I44" s="254">
        <v>71</v>
      </c>
      <c r="J44" s="254">
        <v>95</v>
      </c>
      <c r="K44" s="255" t="s">
        <v>243</v>
      </c>
      <c r="L44" s="254" t="s">
        <v>205</v>
      </c>
      <c r="M44" s="254">
        <v>22</v>
      </c>
      <c r="N44" s="254">
        <v>22</v>
      </c>
      <c r="O44" s="254">
        <v>13</v>
      </c>
      <c r="P44" s="254">
        <v>121</v>
      </c>
      <c r="AB44" s="173"/>
      <c r="AC44" s="173"/>
    </row>
    <row r="45" spans="1:29" x14ac:dyDescent="0.35">
      <c r="A45" s="146" t="str">
        <f>名簿!B33&amp;""</f>
        <v>10010023</v>
      </c>
      <c r="B45" s="146" t="str">
        <f>名簿!C33&amp;""</f>
        <v>池田</v>
      </c>
      <c r="C45" s="146" t="str">
        <f>名簿!D33&amp;""</f>
        <v>直樹</v>
      </c>
      <c r="D45" s="254">
        <v>85</v>
      </c>
      <c r="E45" s="254">
        <v>86</v>
      </c>
      <c r="F45" s="254">
        <v>89</v>
      </c>
      <c r="G45" s="254">
        <v>91</v>
      </c>
      <c r="H45" s="254">
        <v>77</v>
      </c>
      <c r="I45" s="254">
        <v>96</v>
      </c>
      <c r="J45" s="254">
        <v>77</v>
      </c>
      <c r="K45" s="255" t="s">
        <v>243</v>
      </c>
      <c r="L45" s="254" t="s">
        <v>205</v>
      </c>
      <c r="M45" s="254">
        <v>23</v>
      </c>
      <c r="N45" s="254">
        <v>23</v>
      </c>
      <c r="O45" s="254">
        <v>14</v>
      </c>
      <c r="P45" s="254">
        <v>122</v>
      </c>
      <c r="AB45" s="173"/>
      <c r="AC45" s="173"/>
    </row>
    <row r="46" spans="1:29" x14ac:dyDescent="0.35">
      <c r="A46" s="146" t="str">
        <f>名簿!B34&amp;""</f>
        <v>10010024</v>
      </c>
      <c r="B46" s="146" t="str">
        <f>名簿!C34&amp;""</f>
        <v>橋本</v>
      </c>
      <c r="C46" s="146" t="str">
        <f>名簿!D34&amp;""</f>
        <v>愛</v>
      </c>
      <c r="D46" s="254">
        <v>47</v>
      </c>
      <c r="E46" s="254">
        <v>99</v>
      </c>
      <c r="F46" s="254">
        <v>76</v>
      </c>
      <c r="G46" s="254">
        <v>89</v>
      </c>
      <c r="H46" s="254">
        <v>76</v>
      </c>
      <c r="I46" s="254">
        <v>94</v>
      </c>
      <c r="J46" s="254">
        <v>97</v>
      </c>
      <c r="K46" s="255" t="s">
        <v>243</v>
      </c>
      <c r="L46" s="254" t="s">
        <v>205</v>
      </c>
      <c r="M46" s="254">
        <v>24</v>
      </c>
      <c r="N46" s="254">
        <v>24</v>
      </c>
      <c r="O46" s="254">
        <v>15</v>
      </c>
      <c r="P46" s="254">
        <v>123</v>
      </c>
      <c r="AB46" s="173"/>
      <c r="AC46" s="173"/>
    </row>
    <row r="47" spans="1:29" x14ac:dyDescent="0.35">
      <c r="A47" s="146" t="str">
        <f>名簿!B35&amp;""</f>
        <v>10010025</v>
      </c>
      <c r="B47" s="146" t="str">
        <f>名簿!C35&amp;""</f>
        <v>阿部</v>
      </c>
      <c r="C47" s="146" t="str">
        <f>名簿!D35&amp;""</f>
        <v>健太</v>
      </c>
      <c r="D47" s="254">
        <v>85</v>
      </c>
      <c r="E47" s="254">
        <v>58</v>
      </c>
      <c r="F47" s="254">
        <v>78</v>
      </c>
      <c r="G47" s="254">
        <v>76</v>
      </c>
      <c r="H47" s="254">
        <v>90</v>
      </c>
      <c r="I47" s="254">
        <v>94</v>
      </c>
      <c r="J47" s="254">
        <v>94</v>
      </c>
      <c r="K47" s="255" t="s">
        <v>243</v>
      </c>
      <c r="L47" s="254" t="s">
        <v>205</v>
      </c>
      <c r="M47" s="254">
        <v>25</v>
      </c>
      <c r="N47" s="254">
        <v>25</v>
      </c>
      <c r="O47" s="254">
        <v>16</v>
      </c>
      <c r="P47" s="254">
        <v>124</v>
      </c>
      <c r="AB47" s="173"/>
      <c r="AC47" s="173"/>
    </row>
    <row r="48" spans="1:29" x14ac:dyDescent="0.35">
      <c r="A48" s="146" t="str">
        <f>名簿!B36&amp;""</f>
        <v>10010026</v>
      </c>
      <c r="B48" s="146" t="str">
        <f>名簿!C36&amp;""</f>
        <v>石川</v>
      </c>
      <c r="C48" s="146" t="str">
        <f>名簿!D36&amp;""</f>
        <v>陽菜</v>
      </c>
      <c r="D48" s="254">
        <v>85</v>
      </c>
      <c r="E48" s="254">
        <v>46</v>
      </c>
      <c r="F48" s="254">
        <v>73</v>
      </c>
      <c r="G48" s="254">
        <v>70</v>
      </c>
      <c r="H48" s="254">
        <v>95</v>
      </c>
      <c r="I48" s="254">
        <v>70</v>
      </c>
      <c r="J48" s="254">
        <v>74</v>
      </c>
      <c r="K48" s="255" t="s">
        <v>243</v>
      </c>
      <c r="L48" s="254" t="s">
        <v>205</v>
      </c>
      <c r="M48" s="254">
        <v>26</v>
      </c>
      <c r="N48" s="254">
        <v>26</v>
      </c>
      <c r="O48" s="254">
        <v>17</v>
      </c>
      <c r="P48" s="254">
        <v>125</v>
      </c>
      <c r="AB48" s="173"/>
      <c r="AC48" s="173"/>
    </row>
    <row r="49" spans="1:29" x14ac:dyDescent="0.35">
      <c r="A49" s="146" t="str">
        <f>名簿!B37&amp;""</f>
        <v>10010027</v>
      </c>
      <c r="B49" s="146" t="str">
        <f>名簿!C37&amp;""</f>
        <v>山下</v>
      </c>
      <c r="C49" s="146" t="str">
        <f>名簿!D37&amp;""</f>
        <v>学</v>
      </c>
      <c r="D49" s="254">
        <v>85</v>
      </c>
      <c r="E49" s="254">
        <v>54</v>
      </c>
      <c r="F49" s="254">
        <v>78</v>
      </c>
      <c r="G49" s="254">
        <v>81</v>
      </c>
      <c r="H49" s="254">
        <v>73</v>
      </c>
      <c r="I49" s="254">
        <v>100</v>
      </c>
      <c r="J49" s="254">
        <v>77</v>
      </c>
      <c r="K49" s="255" t="s">
        <v>243</v>
      </c>
      <c r="L49" s="254" t="s">
        <v>205</v>
      </c>
      <c r="M49" s="254">
        <v>27</v>
      </c>
      <c r="N49" s="254">
        <v>27</v>
      </c>
      <c r="O49" s="254">
        <v>18</v>
      </c>
      <c r="P49" s="254">
        <v>126</v>
      </c>
      <c r="AB49" s="173"/>
      <c r="AC49" s="173"/>
    </row>
    <row r="50" spans="1:29" x14ac:dyDescent="0.35">
      <c r="A50" s="146" t="str">
        <f>名簿!B38&amp;""</f>
        <v>10010028</v>
      </c>
      <c r="B50" s="146" t="str">
        <f>名簿!C38&amp;""</f>
        <v>中島</v>
      </c>
      <c r="C50" s="146" t="str">
        <f>名簿!D38&amp;""</f>
        <v>凛</v>
      </c>
      <c r="D50" s="254">
        <v>75</v>
      </c>
      <c r="E50" s="254">
        <v>82</v>
      </c>
      <c r="F50" s="254">
        <v>95</v>
      </c>
      <c r="G50" s="254">
        <v>73</v>
      </c>
      <c r="H50" s="254">
        <v>86</v>
      </c>
      <c r="I50" s="254">
        <v>91</v>
      </c>
      <c r="J50" s="254">
        <v>85</v>
      </c>
      <c r="K50" s="255" t="s">
        <v>243</v>
      </c>
      <c r="L50" s="254" t="s">
        <v>205</v>
      </c>
      <c r="M50" s="254">
        <v>28</v>
      </c>
      <c r="N50" s="254">
        <v>28</v>
      </c>
      <c r="O50" s="254">
        <v>19</v>
      </c>
      <c r="P50" s="254">
        <v>127</v>
      </c>
      <c r="AB50" s="173"/>
      <c r="AC50" s="173"/>
    </row>
    <row r="51" spans="1:29" x14ac:dyDescent="0.35">
      <c r="A51" s="146" t="str">
        <f>名簿!B39&amp;""</f>
        <v>10010029</v>
      </c>
      <c r="B51" s="146" t="str">
        <f>名簿!C39&amp;""</f>
        <v>石井</v>
      </c>
      <c r="C51" s="146" t="str">
        <f>名簿!D39&amp;""</f>
        <v>健太</v>
      </c>
      <c r="D51" s="254">
        <v>85</v>
      </c>
      <c r="E51" s="254">
        <v>61</v>
      </c>
      <c r="F51" s="254">
        <v>74</v>
      </c>
      <c r="G51" s="254">
        <v>75</v>
      </c>
      <c r="H51" s="254">
        <v>80</v>
      </c>
      <c r="I51" s="254">
        <v>85</v>
      </c>
      <c r="J51" s="254">
        <v>76</v>
      </c>
      <c r="K51" s="255" t="s">
        <v>243</v>
      </c>
      <c r="L51" s="254" t="s">
        <v>205</v>
      </c>
      <c r="M51" s="254">
        <v>29</v>
      </c>
      <c r="N51" s="254">
        <v>29</v>
      </c>
      <c r="O51" s="254">
        <v>20</v>
      </c>
      <c r="P51" s="254">
        <v>128</v>
      </c>
      <c r="AB51" s="173"/>
      <c r="AC51" s="173"/>
    </row>
    <row r="52" spans="1:29" x14ac:dyDescent="0.35">
      <c r="A52" s="146" t="str">
        <f>名簿!B40&amp;""</f>
        <v>10010030</v>
      </c>
      <c r="B52" s="146" t="str">
        <f>名簿!C40&amp;""</f>
        <v>小川</v>
      </c>
      <c r="C52" s="146" t="str">
        <f>名簿!D40&amp;""</f>
        <v>楓</v>
      </c>
      <c r="D52" s="254">
        <v>85</v>
      </c>
      <c r="E52" s="254">
        <v>35</v>
      </c>
      <c r="F52" s="254">
        <v>85</v>
      </c>
      <c r="G52" s="254">
        <v>98</v>
      </c>
      <c r="H52" s="254">
        <v>76</v>
      </c>
      <c r="I52" s="254">
        <v>95</v>
      </c>
      <c r="J52" s="254">
        <v>80</v>
      </c>
      <c r="K52" s="255" t="s">
        <v>243</v>
      </c>
      <c r="L52" s="254" t="s">
        <v>205</v>
      </c>
      <c r="M52" s="254">
        <v>30</v>
      </c>
      <c r="N52" s="254">
        <v>30</v>
      </c>
      <c r="O52" s="254">
        <v>21</v>
      </c>
      <c r="P52" s="254">
        <v>129</v>
      </c>
      <c r="AB52" s="173"/>
      <c r="AC52" s="173"/>
    </row>
    <row r="53" spans="1:29" x14ac:dyDescent="0.35">
      <c r="A53" s="146" t="str">
        <f>名簿!B41&amp;""</f>
        <v/>
      </c>
      <c r="B53" s="146" t="str">
        <f>名簿!C41&amp;""</f>
        <v/>
      </c>
      <c r="C53" s="146" t="str">
        <f>名簿!D41&amp;""</f>
        <v/>
      </c>
      <c r="D53" s="254"/>
      <c r="E53" s="254"/>
      <c r="F53" s="254"/>
      <c r="G53" s="254"/>
      <c r="H53" s="254"/>
      <c r="I53" s="254"/>
      <c r="J53" s="254"/>
      <c r="K53" s="256"/>
      <c r="L53" s="254"/>
      <c r="M53" s="254"/>
      <c r="N53" s="254"/>
      <c r="O53" s="254"/>
      <c r="P53" s="254"/>
      <c r="AB53" s="173"/>
      <c r="AC53" s="173"/>
    </row>
    <row r="54" spans="1:29" x14ac:dyDescent="0.35">
      <c r="A54" s="146" t="str">
        <f>名簿!B42&amp;""</f>
        <v/>
      </c>
      <c r="B54" s="146" t="str">
        <f>名簿!C42&amp;""</f>
        <v/>
      </c>
      <c r="C54" s="146" t="str">
        <f>名簿!D42&amp;""</f>
        <v/>
      </c>
      <c r="D54" s="254"/>
      <c r="E54" s="254"/>
      <c r="F54" s="254"/>
      <c r="G54" s="254"/>
      <c r="H54" s="254"/>
      <c r="I54" s="254"/>
      <c r="J54" s="254"/>
      <c r="K54" s="256"/>
      <c r="L54" s="254"/>
      <c r="M54" s="254"/>
      <c r="N54" s="254"/>
      <c r="O54" s="254"/>
      <c r="P54" s="254"/>
      <c r="AB54" s="173"/>
      <c r="AC54" s="173"/>
    </row>
    <row r="55" spans="1:29" x14ac:dyDescent="0.35">
      <c r="A55" s="146" t="str">
        <f>名簿!B43&amp;""</f>
        <v/>
      </c>
      <c r="B55" s="146" t="str">
        <f>名簿!C43&amp;""</f>
        <v/>
      </c>
      <c r="C55" s="146" t="str">
        <f>名簿!D43&amp;""</f>
        <v/>
      </c>
      <c r="D55" s="254"/>
      <c r="E55" s="254"/>
      <c r="F55" s="254"/>
      <c r="G55" s="254"/>
      <c r="H55" s="254"/>
      <c r="I55" s="254"/>
      <c r="J55" s="254"/>
      <c r="K55" s="256"/>
      <c r="L55" s="254"/>
      <c r="M55" s="254"/>
      <c r="N55" s="254"/>
      <c r="O55" s="254"/>
      <c r="P55" s="254"/>
      <c r="AB55" s="173"/>
      <c r="AC55" s="173"/>
    </row>
    <row r="56" spans="1:29" x14ac:dyDescent="0.35">
      <c r="A56" s="146" t="str">
        <f>名簿!B44&amp;""</f>
        <v/>
      </c>
      <c r="B56" s="146" t="str">
        <f>名簿!C44&amp;""</f>
        <v/>
      </c>
      <c r="C56" s="146" t="str">
        <f>名簿!D44&amp;""</f>
        <v/>
      </c>
      <c r="D56" s="254"/>
      <c r="E56" s="254"/>
      <c r="F56" s="254"/>
      <c r="G56" s="254"/>
      <c r="H56" s="254"/>
      <c r="I56" s="254"/>
      <c r="J56" s="254"/>
      <c r="K56" s="256"/>
      <c r="L56" s="254"/>
      <c r="M56" s="254"/>
      <c r="N56" s="254"/>
      <c r="O56" s="254"/>
      <c r="P56" s="254"/>
      <c r="AB56" s="173"/>
      <c r="AC56" s="173"/>
    </row>
    <row r="57" spans="1:29" x14ac:dyDescent="0.35">
      <c r="A57" s="146" t="str">
        <f>名簿!B45&amp;""</f>
        <v/>
      </c>
      <c r="B57" s="146" t="str">
        <f>名簿!C45&amp;""</f>
        <v/>
      </c>
      <c r="C57" s="146" t="str">
        <f>名簿!D45&amp;""</f>
        <v/>
      </c>
      <c r="D57" s="254"/>
      <c r="E57" s="254"/>
      <c r="F57" s="254"/>
      <c r="G57" s="254"/>
      <c r="H57" s="254"/>
      <c r="I57" s="254"/>
      <c r="J57" s="254"/>
      <c r="K57" s="256"/>
      <c r="L57" s="254"/>
      <c r="M57" s="254"/>
      <c r="N57" s="254"/>
      <c r="O57" s="254"/>
      <c r="P57" s="254"/>
      <c r="AB57" s="173"/>
      <c r="AC57" s="173"/>
    </row>
    <row r="58" spans="1:29" x14ac:dyDescent="0.35">
      <c r="A58" s="146" t="str">
        <f>名簿!B46&amp;""</f>
        <v/>
      </c>
      <c r="B58" s="146" t="str">
        <f>名簿!C46&amp;""</f>
        <v/>
      </c>
      <c r="C58" s="146" t="str">
        <f>名簿!D46&amp;""</f>
        <v/>
      </c>
      <c r="D58" s="254"/>
      <c r="E58" s="254"/>
      <c r="F58" s="254"/>
      <c r="G58" s="254"/>
      <c r="H58" s="254"/>
      <c r="I58" s="254"/>
      <c r="J58" s="254"/>
      <c r="K58" s="256"/>
      <c r="L58" s="254"/>
      <c r="M58" s="254"/>
      <c r="N58" s="254"/>
      <c r="O58" s="254"/>
      <c r="P58" s="254"/>
      <c r="AB58" s="173"/>
      <c r="AC58" s="173"/>
    </row>
    <row r="59" spans="1:29" x14ac:dyDescent="0.35">
      <c r="A59" s="146" t="str">
        <f>名簿!B47&amp;""</f>
        <v/>
      </c>
      <c r="B59" s="146" t="str">
        <f>名簿!C47&amp;""</f>
        <v/>
      </c>
      <c r="C59" s="146" t="str">
        <f>名簿!D47&amp;""</f>
        <v/>
      </c>
      <c r="D59" s="254"/>
      <c r="E59" s="254"/>
      <c r="F59" s="254"/>
      <c r="G59" s="254"/>
      <c r="H59" s="254"/>
      <c r="I59" s="254"/>
      <c r="J59" s="254"/>
      <c r="K59" s="256"/>
      <c r="L59" s="254"/>
      <c r="M59" s="254"/>
      <c r="N59" s="254"/>
      <c r="O59" s="254"/>
      <c r="P59" s="254"/>
      <c r="AB59" s="173"/>
      <c r="AC59" s="173"/>
    </row>
    <row r="60" spans="1:29" x14ac:dyDescent="0.35">
      <c r="A60" s="146" t="str">
        <f>名簿!B48&amp;""</f>
        <v/>
      </c>
      <c r="B60" s="146" t="str">
        <f>名簿!C48&amp;""</f>
        <v/>
      </c>
      <c r="C60" s="146" t="str">
        <f>名簿!D48&amp;""</f>
        <v/>
      </c>
      <c r="D60" s="254"/>
      <c r="E60" s="254"/>
      <c r="F60" s="254"/>
      <c r="G60" s="254"/>
      <c r="H60" s="254"/>
      <c r="I60" s="254"/>
      <c r="J60" s="254"/>
      <c r="K60" s="256"/>
      <c r="L60" s="254"/>
      <c r="M60" s="254"/>
      <c r="N60" s="254"/>
      <c r="O60" s="254"/>
      <c r="P60" s="254"/>
      <c r="AB60" s="173"/>
      <c r="AC60" s="173"/>
    </row>
    <row r="61" spans="1:29" x14ac:dyDescent="0.35">
      <c r="A61" s="146" t="str">
        <f>名簿!B49&amp;""</f>
        <v/>
      </c>
      <c r="B61" s="146" t="str">
        <f>名簿!C49&amp;""</f>
        <v/>
      </c>
      <c r="C61" s="146" t="str">
        <f>名簿!D49&amp;""</f>
        <v/>
      </c>
      <c r="D61" s="254"/>
      <c r="E61" s="254"/>
      <c r="F61" s="254"/>
      <c r="G61" s="254"/>
      <c r="H61" s="254"/>
      <c r="I61" s="254"/>
      <c r="J61" s="254"/>
      <c r="K61" s="256"/>
      <c r="L61" s="254"/>
      <c r="M61" s="254"/>
      <c r="N61" s="254"/>
      <c r="O61" s="254"/>
      <c r="P61" s="254"/>
      <c r="AB61" s="173"/>
      <c r="AC61" s="173"/>
    </row>
    <row r="62" spans="1:29" x14ac:dyDescent="0.35">
      <c r="A62" s="146" t="str">
        <f>名簿!B50&amp;""</f>
        <v/>
      </c>
      <c r="B62" s="146" t="str">
        <f>名簿!C50&amp;""</f>
        <v/>
      </c>
      <c r="C62" s="146" t="str">
        <f>名簿!D50&amp;""</f>
        <v/>
      </c>
      <c r="D62" s="254"/>
      <c r="E62" s="254"/>
      <c r="F62" s="254"/>
      <c r="G62" s="254"/>
      <c r="H62" s="254"/>
      <c r="I62" s="254"/>
      <c r="J62" s="254"/>
      <c r="K62" s="256"/>
      <c r="L62" s="254"/>
      <c r="M62" s="254"/>
      <c r="N62" s="254"/>
      <c r="O62" s="254"/>
      <c r="P62" s="254"/>
      <c r="AB62" s="173"/>
      <c r="AC62" s="173"/>
    </row>
  </sheetData>
  <sheetProtection algorithmName="SHA-512" hashValue="IE7iCRrbT5c6YPB7PtCSTI9z1EYw4TlLtob3NiUvwQNUVS2KDHMZtRuDPoDvsoMFbYkYcDITVoKmEg0ggEfOAQ==" saltValue="P9FcK+GYmIRn4BhnRG97DQ==" spinCount="100000" sheet="1" objects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h_data.Btm_adjustscore_hide_reveal2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h_data.Btn_stats_hide_reveal2">
                <anchor moveWithCells="1" sizeWithCells="1">
                  <from>
                    <xdr:col>0</xdr:col>
                    <xdr:colOff>0</xdr:colOff>
                    <xdr:row>5</xdr:row>
                    <xdr:rowOff>38100</xdr:rowOff>
                  </from>
                  <to>
                    <xdr:col>1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h_individual.ShowAnalysisForm">
                <anchor moveWithCells="1" sizeWithCells="1">
                  <from>
                    <xdr:col>3</xdr:col>
                    <xdr:colOff>19050</xdr:colOff>
                    <xdr:row>0</xdr:row>
                    <xdr:rowOff>9525</xdr:rowOff>
                  </from>
                  <to>
                    <xdr:col>4</xdr:col>
                    <xdr:colOff>495300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T8" sqref="T8"/>
    </sheetView>
  </sheetViews>
  <sheetFormatPr defaultColWidth="9" defaultRowHeight="16.5" x14ac:dyDescent="0.4"/>
  <cols>
    <col min="1" max="1" width="11.75" style="74" customWidth="1"/>
    <col min="2" max="2" width="10.375" style="74" customWidth="1"/>
    <col min="3" max="3" width="9.25" style="74" customWidth="1"/>
    <col min="4" max="4" width="5.25" style="74" customWidth="1"/>
    <col min="5" max="974" width="4.875" style="74" customWidth="1"/>
    <col min="975" max="16384" width="9" style="74"/>
  </cols>
  <sheetData>
    <row r="1" spans="1:789" ht="24" x14ac:dyDescent="0.4">
      <c r="A1" s="87" t="s">
        <v>13</v>
      </c>
      <c r="B1" s="75"/>
    </row>
    <row r="2" spans="1:789" ht="19.5" x14ac:dyDescent="0.4">
      <c r="A2" s="74" t="s">
        <v>0</v>
      </c>
      <c r="B2" s="234" t="s">
        <v>190</v>
      </c>
    </row>
    <row r="3" spans="1:789" s="82" customFormat="1" ht="24" customHeight="1" x14ac:dyDescent="0.4">
      <c r="A3" s="74" t="s">
        <v>2</v>
      </c>
      <c r="B3" s="74"/>
    </row>
    <row r="4" spans="1:789" s="83" customFormat="1" x14ac:dyDescent="0.4">
      <c r="A4" s="90" t="s">
        <v>82</v>
      </c>
      <c r="B4" s="90" t="s">
        <v>219</v>
      </c>
      <c r="C4" s="91" t="s">
        <v>17</v>
      </c>
      <c r="D4" s="83" t="s">
        <v>210</v>
      </c>
      <c r="E4" s="83" t="s">
        <v>213</v>
      </c>
    </row>
    <row r="5" spans="1:789" s="84" customFormat="1" x14ac:dyDescent="0.4">
      <c r="A5" s="90"/>
      <c r="B5" s="90" t="s">
        <v>120</v>
      </c>
      <c r="C5" s="91" t="s">
        <v>4</v>
      </c>
      <c r="D5" s="84">
        <v>46103</v>
      </c>
      <c r="E5" s="84">
        <v>46103</v>
      </c>
    </row>
    <row r="6" spans="1:789" s="85" customFormat="1" x14ac:dyDescent="0.4">
      <c r="A6" s="90"/>
      <c r="B6" s="90" t="s">
        <v>120</v>
      </c>
      <c r="C6" s="91"/>
      <c r="D6" s="85" t="s">
        <v>190</v>
      </c>
      <c r="E6" s="85" t="s">
        <v>190</v>
      </c>
    </row>
    <row r="7" spans="1:789" s="85" customFormat="1" ht="18.75" customHeight="1" x14ac:dyDescent="0.4">
      <c r="A7" s="92"/>
      <c r="B7" s="90"/>
      <c r="C7" s="91" t="s">
        <v>75</v>
      </c>
      <c r="D7" s="83" t="s">
        <v>130</v>
      </c>
      <c r="E7" s="83" t="s">
        <v>130</v>
      </c>
      <c r="F7" s="83"/>
      <c r="G7" s="83"/>
      <c r="H7" s="83"/>
      <c r="I7" s="83"/>
      <c r="J7" s="83"/>
      <c r="K7" s="83"/>
      <c r="L7" s="83"/>
      <c r="M7" s="83"/>
      <c r="N7" s="83"/>
      <c r="O7" s="83"/>
      <c r="P7" s="83" t="s">
        <v>246</v>
      </c>
      <c r="Q7" s="83" t="s">
        <v>244</v>
      </c>
      <c r="R7" s="83" t="s">
        <v>234</v>
      </c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  <c r="CK7" s="83"/>
      <c r="CL7" s="83"/>
      <c r="CM7" s="83"/>
      <c r="CN7" s="83"/>
      <c r="CO7" s="83"/>
      <c r="CP7" s="83"/>
      <c r="CQ7" s="83"/>
      <c r="CR7" s="83"/>
      <c r="CS7" s="83"/>
      <c r="CT7" s="83"/>
      <c r="CU7" s="83"/>
      <c r="CV7" s="83"/>
      <c r="CW7" s="83"/>
      <c r="CX7" s="83"/>
      <c r="CY7" s="83"/>
      <c r="CZ7" s="83"/>
      <c r="DA7" s="83"/>
      <c r="DB7" s="83"/>
      <c r="DC7" s="83"/>
      <c r="DD7" s="83"/>
      <c r="DE7" s="83"/>
      <c r="DF7" s="83"/>
      <c r="DG7" s="83"/>
      <c r="DH7" s="83"/>
      <c r="DI7" s="83"/>
      <c r="DJ7" s="83"/>
      <c r="DK7" s="83"/>
      <c r="DL7" s="83"/>
      <c r="DM7" s="83"/>
      <c r="DN7" s="83"/>
      <c r="DO7" s="83"/>
      <c r="DP7" s="83"/>
      <c r="DQ7" s="83"/>
      <c r="DR7" s="83"/>
      <c r="DS7" s="83"/>
      <c r="DT7" s="83"/>
      <c r="DU7" s="83"/>
      <c r="DV7" s="83"/>
      <c r="DW7" s="83"/>
      <c r="DX7" s="83"/>
      <c r="DY7" s="83"/>
      <c r="DZ7" s="83"/>
      <c r="EA7" s="83"/>
      <c r="EB7" s="83"/>
      <c r="EC7" s="83"/>
      <c r="ED7" s="83"/>
      <c r="EE7" s="83"/>
      <c r="EF7" s="83"/>
      <c r="EG7" s="83"/>
      <c r="EH7" s="83"/>
      <c r="EI7" s="83"/>
      <c r="EJ7" s="83"/>
      <c r="EK7" s="83"/>
      <c r="EL7" s="83"/>
      <c r="EM7" s="83"/>
      <c r="EN7" s="83"/>
      <c r="EO7" s="83"/>
      <c r="EP7" s="83"/>
      <c r="EQ7" s="83"/>
      <c r="ER7" s="83"/>
      <c r="ES7" s="83"/>
      <c r="ET7" s="83"/>
      <c r="EU7" s="83"/>
      <c r="EV7" s="83"/>
      <c r="EW7" s="83"/>
      <c r="EX7" s="83"/>
      <c r="EY7" s="83"/>
      <c r="EZ7" s="83"/>
      <c r="FA7" s="83"/>
      <c r="FB7" s="83"/>
      <c r="FC7" s="83"/>
      <c r="FD7" s="83"/>
      <c r="FE7" s="83"/>
      <c r="FF7" s="83"/>
      <c r="FG7" s="83"/>
      <c r="FH7" s="83"/>
      <c r="FI7" s="83"/>
      <c r="FJ7" s="83"/>
      <c r="FK7" s="83"/>
      <c r="FL7" s="83"/>
      <c r="FM7" s="83"/>
      <c r="FN7" s="83"/>
      <c r="FO7" s="83"/>
      <c r="FP7" s="83"/>
      <c r="FQ7" s="83"/>
      <c r="FR7" s="83"/>
      <c r="FS7" s="83"/>
      <c r="FT7" s="83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  <c r="WG7" s="83"/>
      <c r="WH7" s="83"/>
      <c r="WI7" s="83"/>
      <c r="WJ7" s="83"/>
      <c r="WK7" s="83"/>
      <c r="WL7" s="83"/>
      <c r="WM7" s="83"/>
      <c r="WN7" s="83"/>
      <c r="WO7" s="83"/>
      <c r="WP7" s="83"/>
      <c r="WQ7" s="83"/>
      <c r="WR7" s="83"/>
      <c r="WS7" s="83"/>
      <c r="WT7" s="83"/>
      <c r="WU7" s="83"/>
      <c r="WV7" s="83"/>
      <c r="WW7" s="83"/>
      <c r="WX7" s="83"/>
      <c r="WY7" s="83"/>
      <c r="WZ7" s="83"/>
      <c r="XA7" s="83"/>
      <c r="XB7" s="83"/>
      <c r="XC7" s="83"/>
      <c r="XD7" s="83"/>
      <c r="XE7" s="83"/>
      <c r="XF7" s="83"/>
      <c r="XG7" s="83"/>
      <c r="XH7" s="83"/>
      <c r="XI7" s="83"/>
      <c r="XJ7" s="83"/>
      <c r="XK7" s="83"/>
      <c r="XL7" s="83"/>
      <c r="XM7" s="83"/>
      <c r="XN7" s="83"/>
      <c r="XO7" s="83"/>
      <c r="XP7" s="83"/>
      <c r="XQ7" s="83"/>
      <c r="XR7" s="83"/>
      <c r="XS7" s="83"/>
      <c r="XT7" s="83"/>
      <c r="XU7" s="83"/>
      <c r="XV7" s="83"/>
      <c r="XW7" s="83"/>
      <c r="XX7" s="83"/>
      <c r="XY7" s="83"/>
      <c r="XZ7" s="83"/>
      <c r="YA7" s="83"/>
      <c r="YB7" s="83"/>
      <c r="YC7" s="83"/>
      <c r="YD7" s="83"/>
      <c r="YE7" s="83"/>
      <c r="YF7" s="83"/>
      <c r="YG7" s="83"/>
      <c r="YH7" s="83"/>
      <c r="YI7" s="83"/>
      <c r="YJ7" s="83"/>
      <c r="YK7" s="83"/>
      <c r="YL7" s="83"/>
      <c r="YM7" s="83"/>
      <c r="YN7" s="83"/>
      <c r="YO7" s="83"/>
      <c r="YP7" s="83"/>
      <c r="YQ7" s="83"/>
      <c r="YR7" s="83"/>
      <c r="YS7" s="83"/>
      <c r="YT7" s="83"/>
      <c r="YU7" s="83"/>
      <c r="YV7" s="83"/>
      <c r="YW7" s="83"/>
      <c r="YX7" s="83"/>
      <c r="YY7" s="83"/>
      <c r="YZ7" s="83"/>
      <c r="ZA7" s="83"/>
      <c r="ZB7" s="83"/>
      <c r="ZC7" s="83"/>
      <c r="ZD7" s="83"/>
      <c r="ZE7" s="83"/>
      <c r="ZF7" s="83"/>
      <c r="ZG7" s="83"/>
      <c r="ZH7" s="83"/>
      <c r="ZI7" s="83"/>
      <c r="ZJ7" s="83"/>
      <c r="ZK7" s="83"/>
      <c r="ZL7" s="83"/>
      <c r="ZM7" s="83"/>
      <c r="ZN7" s="83"/>
      <c r="ZO7" s="83"/>
      <c r="ZP7" s="83"/>
      <c r="ZQ7" s="83"/>
      <c r="ZR7" s="83"/>
      <c r="ZS7" s="83"/>
      <c r="ZT7" s="83"/>
      <c r="ZU7" s="83"/>
      <c r="ZV7" s="83"/>
      <c r="ZW7" s="83"/>
      <c r="ZX7" s="83"/>
      <c r="ZY7" s="83"/>
      <c r="ZZ7" s="83"/>
      <c r="AAA7" s="83"/>
      <c r="AAB7" s="83"/>
      <c r="AAC7" s="83"/>
      <c r="AAD7" s="83"/>
      <c r="AAE7" s="83"/>
      <c r="AAF7" s="83"/>
      <c r="AAG7" s="83"/>
      <c r="AAH7" s="83"/>
      <c r="AAI7" s="83"/>
      <c r="AAJ7" s="83"/>
      <c r="AAK7" s="83"/>
      <c r="AAL7" s="83"/>
      <c r="AAM7" s="83"/>
      <c r="AAN7" s="83"/>
      <c r="AAO7" s="83"/>
      <c r="AAP7" s="83"/>
      <c r="AAQ7" s="83"/>
      <c r="AAR7" s="83"/>
      <c r="AAS7" s="83"/>
      <c r="AAT7" s="83"/>
      <c r="AAU7" s="83"/>
      <c r="AAV7" s="83"/>
      <c r="AAW7" s="83"/>
      <c r="AAX7" s="83"/>
      <c r="AAY7" s="83"/>
      <c r="AAZ7" s="83"/>
      <c r="ABA7" s="83"/>
      <c r="ABB7" s="83"/>
      <c r="ABC7" s="83"/>
      <c r="ABD7" s="83"/>
      <c r="ABE7" s="83"/>
      <c r="ABF7" s="83"/>
      <c r="ABG7" s="83"/>
      <c r="ABH7" s="83"/>
      <c r="ABI7" s="83"/>
      <c r="ABJ7" s="83"/>
      <c r="ABK7" s="83"/>
      <c r="ABL7" s="83"/>
      <c r="ABM7" s="83"/>
      <c r="ABN7" s="83"/>
      <c r="ABO7" s="83"/>
      <c r="ABP7" s="83"/>
      <c r="ABQ7" s="83"/>
      <c r="ABR7" s="83"/>
      <c r="ABS7" s="83"/>
      <c r="ABT7" s="83"/>
      <c r="ABU7" s="83"/>
      <c r="ABV7" s="83"/>
      <c r="ABW7" s="83"/>
      <c r="ABX7" s="83"/>
      <c r="ABY7" s="83"/>
      <c r="ABZ7" s="83"/>
      <c r="ACA7" s="83"/>
      <c r="ACB7" s="83"/>
      <c r="ACC7" s="83"/>
      <c r="ACD7" s="83"/>
      <c r="ACE7" s="83"/>
      <c r="ACF7" s="83"/>
      <c r="ACG7" s="83"/>
      <c r="ACH7" s="83"/>
      <c r="ACI7" s="83"/>
      <c r="ACJ7" s="83"/>
      <c r="ACK7" s="83"/>
      <c r="ACL7" s="83"/>
      <c r="ACM7" s="83"/>
      <c r="ACN7" s="83"/>
      <c r="ACO7" s="83"/>
      <c r="ACP7" s="83"/>
      <c r="ACQ7" s="83"/>
      <c r="ACR7" s="83"/>
      <c r="ACS7" s="83"/>
      <c r="ACT7" s="83"/>
      <c r="ACU7" s="83"/>
      <c r="ACV7" s="83"/>
      <c r="ACW7" s="83"/>
      <c r="ACX7" s="83"/>
      <c r="ACY7" s="83"/>
      <c r="ACZ7" s="83"/>
      <c r="ADA7" s="83"/>
      <c r="ADB7" s="83"/>
      <c r="ADC7" s="83"/>
      <c r="ADD7" s="83"/>
      <c r="ADE7" s="83"/>
      <c r="ADF7" s="83"/>
      <c r="ADG7" s="83"/>
      <c r="ADH7" s="83"/>
      <c r="ADI7" s="83"/>
    </row>
    <row r="8" spans="1:789" s="86" customFormat="1" ht="123" customHeight="1" x14ac:dyDescent="0.4">
      <c r="A8" s="93"/>
      <c r="B8" s="93"/>
      <c r="C8" s="91" t="s">
        <v>1</v>
      </c>
      <c r="D8" s="86" t="s">
        <v>209</v>
      </c>
      <c r="E8" s="86" t="s">
        <v>209</v>
      </c>
      <c r="G8" s="86" t="s">
        <v>225</v>
      </c>
      <c r="H8" s="86" t="s">
        <v>226</v>
      </c>
      <c r="I8" s="86" t="s">
        <v>227</v>
      </c>
      <c r="J8" s="86" t="s">
        <v>228</v>
      </c>
      <c r="L8" s="86" t="s">
        <v>229</v>
      </c>
      <c r="M8" s="86" t="s">
        <v>230</v>
      </c>
      <c r="O8" s="86" t="s">
        <v>231</v>
      </c>
      <c r="P8" s="86" t="s">
        <v>247</v>
      </c>
      <c r="Q8" s="86" t="s">
        <v>245</v>
      </c>
      <c r="R8" s="86" t="s">
        <v>235</v>
      </c>
      <c r="T8" s="86" t="s">
        <v>239</v>
      </c>
    </row>
    <row r="9" spans="1:789" x14ac:dyDescent="0.4">
      <c r="A9" s="90"/>
      <c r="B9" s="90"/>
      <c r="C9" s="91" t="s">
        <v>2</v>
      </c>
      <c r="D9" s="74" t="s">
        <v>181</v>
      </c>
      <c r="E9" s="74" t="s">
        <v>181</v>
      </c>
      <c r="O9" s="74" t="s">
        <v>232</v>
      </c>
      <c r="P9" s="74">
        <v>90</v>
      </c>
      <c r="Q9" s="74">
        <v>95</v>
      </c>
      <c r="R9" s="74">
        <v>85</v>
      </c>
      <c r="T9" s="74">
        <v>95</v>
      </c>
    </row>
    <row r="10" spans="1:789" x14ac:dyDescent="0.4">
      <c r="A10" s="90"/>
      <c r="B10" s="90"/>
      <c r="C10" s="91" t="s">
        <v>61</v>
      </c>
      <c r="O10" s="74" t="s">
        <v>233</v>
      </c>
      <c r="P10" s="74">
        <v>70</v>
      </c>
      <c r="Q10" s="74">
        <v>75</v>
      </c>
      <c r="R10" s="74">
        <v>65</v>
      </c>
      <c r="T10" s="74">
        <v>75</v>
      </c>
    </row>
    <row r="11" spans="1:789" x14ac:dyDescent="0.4">
      <c r="A11" s="90"/>
      <c r="B11" s="90"/>
      <c r="C11" s="91" t="s">
        <v>80</v>
      </c>
      <c r="D11" s="74">
        <v>100</v>
      </c>
      <c r="E11" s="74">
        <v>100</v>
      </c>
      <c r="G11" s="74">
        <f>SUM(D11:E11)</f>
        <v>200</v>
      </c>
    </row>
    <row r="12" spans="1:789" x14ac:dyDescent="0.4">
      <c r="A12" s="90"/>
      <c r="B12" s="90"/>
      <c r="C12" s="91" t="s">
        <v>50</v>
      </c>
    </row>
    <row r="13" spans="1:789" x14ac:dyDescent="0.4">
      <c r="A13" s="90"/>
      <c r="B13" s="90"/>
      <c r="C13" s="91" t="s">
        <v>51</v>
      </c>
    </row>
    <row r="14" spans="1:789" x14ac:dyDescent="0.4">
      <c r="A14" s="90"/>
      <c r="B14" s="90"/>
      <c r="C14" s="91" t="s">
        <v>49</v>
      </c>
    </row>
    <row r="15" spans="1:789" x14ac:dyDescent="0.4">
      <c r="A15" s="90"/>
      <c r="B15" s="90"/>
      <c r="C15" s="91" t="s">
        <v>52</v>
      </c>
    </row>
    <row r="16" spans="1:789" x14ac:dyDescent="0.4">
      <c r="A16" s="90"/>
      <c r="B16" s="90"/>
      <c r="C16" s="91" t="s">
        <v>54</v>
      </c>
    </row>
    <row r="17" spans="1:20" x14ac:dyDescent="0.4">
      <c r="A17" s="90"/>
      <c r="B17" s="90"/>
      <c r="C17" s="91" t="s">
        <v>55</v>
      </c>
      <c r="D17" s="74">
        <f>調整後配点計算(D11,D12,D14,D15)</f>
        <v>100</v>
      </c>
      <c r="E17" s="74">
        <f>調整後配点計算(E11,E12,E14,E15)</f>
        <v>100</v>
      </c>
      <c r="G17" s="74">
        <f>SUM(D17:E17)</f>
        <v>200</v>
      </c>
    </row>
    <row r="18" spans="1:20" x14ac:dyDescent="0.4">
      <c r="A18" s="90"/>
      <c r="B18" s="90"/>
      <c r="C18" s="91" t="s">
        <v>40</v>
      </c>
      <c r="D18" s="74">
        <v>1</v>
      </c>
      <c r="E18" s="74">
        <v>1</v>
      </c>
      <c r="O18" s="74" t="s">
        <v>236</v>
      </c>
      <c r="P18" s="74">
        <f>COUNTIF(P23:P52,"A")</f>
        <v>7</v>
      </c>
      <c r="Q18" s="74">
        <f>COUNTIF(Q23:Q52,"A")</f>
        <v>2</v>
      </c>
      <c r="R18" s="74">
        <f>COUNTIF(R23:R52,"A")</f>
        <v>18</v>
      </c>
      <c r="T18" s="74">
        <f>COUNTIF(T23:T52,"A")</f>
        <v>2</v>
      </c>
    </row>
    <row r="19" spans="1:20" x14ac:dyDescent="0.4">
      <c r="A19" s="90"/>
      <c r="B19" s="90"/>
      <c r="C19" s="91" t="s">
        <v>7</v>
      </c>
      <c r="D19" s="74">
        <f>IFERROR(AVERAGE(D23:D52),"")</f>
        <v>85.733333333333334</v>
      </c>
      <c r="E19" s="74">
        <f>IFERROR(AVERAGE(E23:E52),"")</f>
        <v>85.678571428571431</v>
      </c>
      <c r="O19" s="74" t="s">
        <v>237</v>
      </c>
      <c r="P19" s="74">
        <f>COUNTIF(P23:P52,"B")</f>
        <v>21</v>
      </c>
      <c r="Q19" s="74">
        <f>COUNTIF(Q23:Q52,"B")</f>
        <v>25</v>
      </c>
      <c r="R19" s="74">
        <f>COUNTIF(R23:R52,"B")</f>
        <v>10</v>
      </c>
      <c r="T19" s="74">
        <f>COUNTIF(T23:T52,"B")</f>
        <v>25</v>
      </c>
    </row>
    <row r="20" spans="1:20" x14ac:dyDescent="0.4">
      <c r="A20" s="90"/>
      <c r="B20" s="90"/>
      <c r="C20" s="91" t="s">
        <v>8</v>
      </c>
      <c r="D20" s="74">
        <f>IFERROR(MEDIAN(D23:D52),"")</f>
        <v>88.5</v>
      </c>
      <c r="E20" s="74">
        <f>IFERROR(MEDIAN(E23:E52),"")</f>
        <v>88.5</v>
      </c>
      <c r="O20" s="74" t="s">
        <v>238</v>
      </c>
      <c r="P20" s="74">
        <f>COUNTIF(P23:P52,"C")</f>
        <v>2</v>
      </c>
      <c r="Q20" s="74">
        <f>COUNTIF(Q23:Q52,"C")</f>
        <v>3</v>
      </c>
      <c r="R20" s="74">
        <f>COUNTIF(R23:R52,"C")</f>
        <v>2</v>
      </c>
      <c r="T20" s="74">
        <f>COUNTIF(T23:T52,"C")</f>
        <v>3</v>
      </c>
    </row>
    <row r="21" spans="1:20" x14ac:dyDescent="0.4">
      <c r="A21" s="90"/>
      <c r="B21" s="90"/>
      <c r="C21" s="91" t="s">
        <v>9</v>
      </c>
      <c r="D21" s="74">
        <f>IFERROR(_xlfn.STDEV.P(D23:D52),"")</f>
        <v>7.9746821601588325</v>
      </c>
      <c r="E21" s="74">
        <f>IFERROR(_xlfn.STDEV.P(E23:E52),"")</f>
        <v>9.1341336731615481</v>
      </c>
    </row>
    <row r="22" spans="1:20" ht="17.25" thickBot="1" x14ac:dyDescent="0.45">
      <c r="A22" s="94"/>
      <c r="B22" s="94"/>
      <c r="C22" s="95" t="s">
        <v>11</v>
      </c>
      <c r="D22" s="74">
        <f>IFERROR(D21/D19,"")</f>
        <v>9.3017288026735992E-2</v>
      </c>
      <c r="E22" s="74">
        <f>IFERROR(E21/E19,"")</f>
        <v>0.10660931340080172</v>
      </c>
    </row>
    <row r="23" spans="1:20" x14ac:dyDescent="0.4">
      <c r="A23" s="74" t="str">
        <f>名簿!B11&amp;""</f>
        <v>10010001</v>
      </c>
      <c r="B23" s="74" t="str">
        <f>名簿!C11&amp;""</f>
        <v>田中</v>
      </c>
      <c r="C23" s="74" t="str">
        <f>名簿!D11&amp;""</f>
        <v>雄介</v>
      </c>
      <c r="D23" s="74">
        <v>85</v>
      </c>
      <c r="E23" s="74">
        <v>91</v>
      </c>
      <c r="G23" s="74">
        <f>SUM(D23:E23)</f>
        <v>176</v>
      </c>
      <c r="H23" s="74">
        <f>SUMPRODUCT((D23:E23&lt;&gt;"-")*D17:E17)</f>
        <v>200</v>
      </c>
      <c r="I23" s="74">
        <f>SUMPRODUCT(D23:E23,D18:E18)</f>
        <v>176</v>
      </c>
      <c r="J23" s="74">
        <f>SUMPRODUCT((D23:E23&lt;&gt;"-")*D17:E17*D18:E18)</f>
        <v>200</v>
      </c>
      <c r="L23" s="74">
        <f>ROUND(100*G23/H23,1)</f>
        <v>88</v>
      </c>
      <c r="M23" s="74">
        <f>ROUND(100*I23/J23,1)</f>
        <v>88</v>
      </c>
      <c r="P23" s="74" t="str">
        <f>IF(M23&gt;=P9,"A",IF(M23&gt;=P10,"B","C"))</f>
        <v>B</v>
      </c>
      <c r="Q23" s="74" t="str">
        <f>IF(M23&gt;=Q9,"A",IF(M23&gt;=Q10,"B","C"))</f>
        <v>B</v>
      </c>
      <c r="R23" s="74" t="str">
        <f>IF(M23&gt;=R9,"A",IF(M23&gt;=R10,"B","C"))</f>
        <v>A</v>
      </c>
      <c r="T23" s="74" t="s">
        <v>249</v>
      </c>
    </row>
    <row r="24" spans="1:20" x14ac:dyDescent="0.4">
      <c r="A24" s="74" t="str">
        <f>名簿!B12&amp;""</f>
        <v>10010002</v>
      </c>
      <c r="B24" s="74" t="str">
        <f>名簿!C12&amp;""</f>
        <v>佐藤</v>
      </c>
      <c r="C24" s="74" t="str">
        <f>名簿!D12&amp;""</f>
        <v>凛</v>
      </c>
      <c r="D24" s="74">
        <v>70</v>
      </c>
      <c r="E24" s="74">
        <v>93</v>
      </c>
      <c r="G24" s="74">
        <f>SUM(D24:E24)</f>
        <v>163</v>
      </c>
      <c r="H24" s="74">
        <f>SUMPRODUCT((D24:E24&lt;&gt;"-")*D17:E17)</f>
        <v>200</v>
      </c>
      <c r="I24" s="74">
        <f>SUMPRODUCT(D24:E24,D18:E18)</f>
        <v>163</v>
      </c>
      <c r="J24" s="74">
        <f>SUMPRODUCT((D24:E24&lt;&gt;"-")*D17:E17*D18:E18)</f>
        <v>200</v>
      </c>
      <c r="L24" s="74">
        <f>ROUND(100*G24/H24,1)</f>
        <v>81.5</v>
      </c>
      <c r="M24" s="74">
        <f>ROUND(100*I24/J24,1)</f>
        <v>81.5</v>
      </c>
      <c r="P24" s="74" t="str">
        <f>IF(M24&gt;=P9,"A",IF(M24&gt;=P10,"B","C"))</f>
        <v>B</v>
      </c>
      <c r="Q24" s="74" t="str">
        <f>IF(M24&gt;=Q9,"A",IF(M24&gt;=Q10,"B","C"))</f>
        <v>B</v>
      </c>
      <c r="R24" s="74" t="str">
        <f>IF(M24&gt;=R9,"A",IF(M24&gt;=R10,"B","C"))</f>
        <v>B</v>
      </c>
      <c r="T24" s="74" t="s">
        <v>249</v>
      </c>
    </row>
    <row r="25" spans="1:20" x14ac:dyDescent="0.4">
      <c r="A25" s="74" t="str">
        <f>名簿!B13&amp;""</f>
        <v>10010003</v>
      </c>
      <c r="B25" s="74" t="str">
        <f>名簿!C13&amp;""</f>
        <v>鈴木</v>
      </c>
      <c r="C25" s="74" t="str">
        <f>名簿!D13&amp;""</f>
        <v>誠</v>
      </c>
      <c r="D25" s="74">
        <v>95</v>
      </c>
      <c r="E25" s="74">
        <v>71</v>
      </c>
      <c r="G25" s="74">
        <f>SUM(D25:E25)</f>
        <v>166</v>
      </c>
      <c r="H25" s="74">
        <f>SUMPRODUCT((D25:E25&lt;&gt;"-")*D17:E17)</f>
        <v>200</v>
      </c>
      <c r="I25" s="74">
        <f>SUMPRODUCT(D25:E25,D18:E18)</f>
        <v>166</v>
      </c>
      <c r="J25" s="74">
        <f>SUMPRODUCT((D25:E25&lt;&gt;"-")*D17:E17*D18:E18)</f>
        <v>200</v>
      </c>
      <c r="L25" s="74">
        <f>ROUND(100*G25/H25,1)</f>
        <v>83</v>
      </c>
      <c r="M25" s="74">
        <f>ROUND(100*I25/J25,1)</f>
        <v>83</v>
      </c>
      <c r="P25" s="74" t="str">
        <f>IF(M25&gt;=P9,"A",IF(M25&gt;=P10,"B","C"))</f>
        <v>B</v>
      </c>
      <c r="Q25" s="74" t="str">
        <f>IF(M25&gt;=Q9,"A",IF(M25&gt;=Q10,"B","C"))</f>
        <v>B</v>
      </c>
      <c r="R25" s="74" t="str">
        <f>IF(M25&gt;=R9,"A",IF(M25&gt;=R10,"B","C"))</f>
        <v>B</v>
      </c>
      <c r="T25" s="74" t="s">
        <v>249</v>
      </c>
    </row>
    <row r="26" spans="1:20" x14ac:dyDescent="0.4">
      <c r="A26" s="74" t="str">
        <f>名簿!B14&amp;""</f>
        <v>10010004</v>
      </c>
      <c r="B26" s="74" t="str">
        <f>名簿!C14&amp;""</f>
        <v>高橋</v>
      </c>
      <c r="C26" s="74" t="str">
        <f>名簿!D14&amp;""</f>
        <v>美優</v>
      </c>
      <c r="D26" s="74">
        <v>95</v>
      </c>
      <c r="E26" s="74">
        <v>75</v>
      </c>
      <c r="G26" s="74">
        <f>SUM(D26:E26)</f>
        <v>170</v>
      </c>
      <c r="H26" s="74">
        <f>SUMPRODUCT((D26:E26&lt;&gt;"-")*D17:E17)</f>
        <v>200</v>
      </c>
      <c r="I26" s="74">
        <f>SUMPRODUCT(D26:E26,D18:E18)</f>
        <v>170</v>
      </c>
      <c r="J26" s="74">
        <f>SUMPRODUCT((D26:E26&lt;&gt;"-")*D17:E17*D18:E18)</f>
        <v>200</v>
      </c>
      <c r="L26" s="74">
        <f>ROUND(100*G26/H26,1)</f>
        <v>85</v>
      </c>
      <c r="M26" s="74">
        <f>ROUND(100*I26/J26,1)</f>
        <v>85</v>
      </c>
      <c r="P26" s="74" t="str">
        <f>IF(M26&gt;=P9,"A",IF(M26&gt;=P10,"B","C"))</f>
        <v>B</v>
      </c>
      <c r="Q26" s="74" t="str">
        <f>IF(M26&gt;=Q9,"A",IF(M26&gt;=Q10,"B","C"))</f>
        <v>B</v>
      </c>
      <c r="R26" s="74" t="str">
        <f>IF(M26&gt;=R9,"A",IF(M26&gt;=R10,"B","C"))</f>
        <v>A</v>
      </c>
      <c r="T26" s="74" t="s">
        <v>249</v>
      </c>
    </row>
    <row r="27" spans="1:20" x14ac:dyDescent="0.4">
      <c r="A27" s="74" t="str">
        <f>名簿!B15&amp;""</f>
        <v>10010005</v>
      </c>
      <c r="B27" s="74" t="str">
        <f>名簿!C15&amp;""</f>
        <v>渡辺</v>
      </c>
      <c r="C27" s="74" t="str">
        <f>名簿!D15&amp;""</f>
        <v>誠</v>
      </c>
      <c r="D27" s="74">
        <v>90</v>
      </c>
      <c r="E27" s="74">
        <v>86</v>
      </c>
      <c r="G27" s="74">
        <f>SUM(D27:E27)</f>
        <v>176</v>
      </c>
      <c r="H27" s="74">
        <f>SUMPRODUCT((D27:E27&lt;&gt;"-")*D17:E17)</f>
        <v>200</v>
      </c>
      <c r="I27" s="74">
        <f>SUMPRODUCT(D27:E27,D18:E18)</f>
        <v>176</v>
      </c>
      <c r="J27" s="74">
        <f>SUMPRODUCT((D27:E27&lt;&gt;"-")*D17:E17*D18:E18)</f>
        <v>200</v>
      </c>
      <c r="L27" s="74">
        <f>ROUND(100*G27/H27,1)</f>
        <v>88</v>
      </c>
      <c r="M27" s="74">
        <f>ROUND(100*I27/J27,1)</f>
        <v>88</v>
      </c>
      <c r="P27" s="74" t="str">
        <f>IF(M27&gt;=P9,"A",IF(M27&gt;=P10,"B","C"))</f>
        <v>B</v>
      </c>
      <c r="Q27" s="74" t="str">
        <f>IF(M27&gt;=Q9,"A",IF(M27&gt;=Q10,"B","C"))</f>
        <v>B</v>
      </c>
      <c r="R27" s="74" t="str">
        <f>IF(M27&gt;=R9,"A",IF(M27&gt;=R10,"B","C"))</f>
        <v>A</v>
      </c>
      <c r="T27" s="74" t="s">
        <v>249</v>
      </c>
    </row>
    <row r="28" spans="1:20" x14ac:dyDescent="0.4">
      <c r="A28" s="74" t="str">
        <f>名簿!B16&amp;""</f>
        <v>10010006</v>
      </c>
      <c r="B28" s="74" t="str">
        <f>名簿!C16&amp;""</f>
        <v>伊藤</v>
      </c>
      <c r="C28" s="74" t="str">
        <f>名簿!D16&amp;""</f>
        <v>凛</v>
      </c>
      <c r="D28" s="74">
        <v>89</v>
      </c>
      <c r="E28" s="74">
        <v>88</v>
      </c>
      <c r="G28" s="74">
        <f>SUM(D28:E28)</f>
        <v>177</v>
      </c>
      <c r="H28" s="74">
        <f>SUMPRODUCT((D28:E28&lt;&gt;"-")*D17:E17)</f>
        <v>200</v>
      </c>
      <c r="I28" s="74">
        <f>SUMPRODUCT(D28:E28,D18:E18)</f>
        <v>177</v>
      </c>
      <c r="J28" s="74">
        <f>SUMPRODUCT((D28:E28&lt;&gt;"-")*D17:E17*D18:E18)</f>
        <v>200</v>
      </c>
      <c r="L28" s="74">
        <f>ROUND(100*G28/H28,1)</f>
        <v>88.5</v>
      </c>
      <c r="M28" s="74">
        <f>ROUND(100*I28/J28,1)</f>
        <v>88.5</v>
      </c>
      <c r="P28" s="74" t="str">
        <f>IF(M28&gt;=P9,"A",IF(M28&gt;=P10,"B","C"))</f>
        <v>B</v>
      </c>
      <c r="Q28" s="74" t="str">
        <f>IF(M28&gt;=Q9,"A",IF(M28&gt;=Q10,"B","C"))</f>
        <v>B</v>
      </c>
      <c r="R28" s="74" t="str">
        <f>IF(M28&gt;=R9,"A",IF(M28&gt;=R10,"B","C"))</f>
        <v>A</v>
      </c>
      <c r="T28" s="74" t="s">
        <v>249</v>
      </c>
    </row>
    <row r="29" spans="1:20" x14ac:dyDescent="0.4">
      <c r="A29" s="74" t="str">
        <f>名簿!B17&amp;""</f>
        <v>10010007</v>
      </c>
      <c r="B29" s="74" t="str">
        <f>名簿!C17&amp;""</f>
        <v>山本</v>
      </c>
      <c r="C29" s="74" t="str">
        <f>名簿!D17&amp;""</f>
        <v>太郎</v>
      </c>
      <c r="D29" s="74">
        <v>76</v>
      </c>
      <c r="E29" s="74">
        <v>98</v>
      </c>
      <c r="G29" s="74">
        <f>SUM(D29:E29)</f>
        <v>174</v>
      </c>
      <c r="H29" s="74">
        <f>SUMPRODUCT((D29:E29&lt;&gt;"-")*D17:E17)</f>
        <v>200</v>
      </c>
      <c r="I29" s="74">
        <f>SUMPRODUCT(D29:E29,D18:E18)</f>
        <v>174</v>
      </c>
      <c r="J29" s="74">
        <f>SUMPRODUCT((D29:E29&lt;&gt;"-")*D17:E17*D18:E18)</f>
        <v>200</v>
      </c>
      <c r="L29" s="74">
        <f>ROUND(100*G29/H29,1)</f>
        <v>87</v>
      </c>
      <c r="M29" s="74">
        <f>ROUND(100*I29/J29,1)</f>
        <v>87</v>
      </c>
      <c r="P29" s="74" t="str">
        <f>IF(M29&gt;=P9,"A",IF(M29&gt;=P10,"B","C"))</f>
        <v>B</v>
      </c>
      <c r="Q29" s="74" t="str">
        <f>IF(M29&gt;=Q9,"A",IF(M29&gt;=Q10,"B","C"))</f>
        <v>B</v>
      </c>
      <c r="R29" s="74" t="str">
        <f>IF(M29&gt;=R9,"A",IF(M29&gt;=R10,"B","C"))</f>
        <v>A</v>
      </c>
      <c r="T29" s="74" t="s">
        <v>249</v>
      </c>
    </row>
    <row r="30" spans="1:20" x14ac:dyDescent="0.4">
      <c r="A30" s="74" t="str">
        <f>名簿!B18&amp;""</f>
        <v>10010008</v>
      </c>
      <c r="B30" s="74" t="str">
        <f>名簿!C18&amp;""</f>
        <v>中村</v>
      </c>
      <c r="C30" s="74" t="str">
        <f>名簿!D18&amp;""</f>
        <v>真央</v>
      </c>
      <c r="D30" s="74">
        <v>93</v>
      </c>
      <c r="E30" s="74">
        <v>80</v>
      </c>
      <c r="G30" s="74">
        <f>SUM(D30:E30)</f>
        <v>173</v>
      </c>
      <c r="H30" s="74">
        <f>SUMPRODUCT((D30:E30&lt;&gt;"-")*D17:E17)</f>
        <v>200</v>
      </c>
      <c r="I30" s="74">
        <f>SUMPRODUCT(D30:E30,D18:E18)</f>
        <v>173</v>
      </c>
      <c r="J30" s="74">
        <f>SUMPRODUCT((D30:E30&lt;&gt;"-")*D17:E17*D18:E18)</f>
        <v>200</v>
      </c>
      <c r="L30" s="74">
        <f>ROUND(100*G30/H30,1)</f>
        <v>86.5</v>
      </c>
      <c r="M30" s="74">
        <f>ROUND(100*I30/J30,1)</f>
        <v>86.5</v>
      </c>
      <c r="P30" s="74" t="str">
        <f>IF(M30&gt;=P9,"A",IF(M30&gt;=P10,"B","C"))</f>
        <v>B</v>
      </c>
      <c r="Q30" s="74" t="str">
        <f>IF(M30&gt;=Q9,"A",IF(M30&gt;=Q10,"B","C"))</f>
        <v>B</v>
      </c>
      <c r="R30" s="74" t="str">
        <f>IF(M30&gt;=R9,"A",IF(M30&gt;=R10,"B","C"))</f>
        <v>A</v>
      </c>
      <c r="T30" s="74" t="s">
        <v>249</v>
      </c>
    </row>
    <row r="31" spans="1:20" x14ac:dyDescent="0.4">
      <c r="A31" s="74" t="str">
        <f>名簿!B19&amp;""</f>
        <v>10010009</v>
      </c>
      <c r="B31" s="74" t="str">
        <f>名簿!C19&amp;""</f>
        <v>小林</v>
      </c>
      <c r="C31" s="74" t="str">
        <f>名簿!D19&amp;""</f>
        <v>浩</v>
      </c>
      <c r="D31" s="74">
        <v>71</v>
      </c>
      <c r="G31" s="74">
        <f>SUM(D31:E31)</f>
        <v>71</v>
      </c>
      <c r="H31" s="74">
        <f>SUMPRODUCT((D31:E31&lt;&gt;"-")*D17:E17)</f>
        <v>200</v>
      </c>
      <c r="I31" s="74">
        <f>SUMPRODUCT(D31:E31,D18:E18)</f>
        <v>71</v>
      </c>
      <c r="J31" s="74">
        <f>SUMPRODUCT((D31:E31&lt;&gt;"-")*D17:E17*D18:E18)</f>
        <v>200</v>
      </c>
      <c r="L31" s="74">
        <f>ROUND(100*G31/H31,1)</f>
        <v>35.5</v>
      </c>
      <c r="M31" s="74">
        <f>ROUND(100*I31/J31,1)</f>
        <v>35.5</v>
      </c>
      <c r="P31" s="74" t="str">
        <f>IF(M31&gt;=P9,"A",IF(M31&gt;=P10,"B","C"))</f>
        <v>C</v>
      </c>
      <c r="Q31" s="74" t="str">
        <f>IF(M31&gt;=Q9,"A",IF(M31&gt;=Q10,"B","C"))</f>
        <v>C</v>
      </c>
      <c r="R31" s="74" t="str">
        <f>IF(M31&gt;=R9,"A",IF(M31&gt;=R10,"B","C"))</f>
        <v>C</v>
      </c>
      <c r="T31" s="74" t="s">
        <v>250</v>
      </c>
    </row>
    <row r="32" spans="1:20" x14ac:dyDescent="0.4">
      <c r="A32" s="74" t="str">
        <f>名簿!B20&amp;""</f>
        <v>10010010</v>
      </c>
      <c r="B32" s="74" t="str">
        <f>名簿!C20&amp;""</f>
        <v>加藤</v>
      </c>
      <c r="C32" s="74" t="str">
        <f>名簿!D20&amp;""</f>
        <v>さくら</v>
      </c>
      <c r="D32" s="74">
        <v>92</v>
      </c>
      <c r="G32" s="74">
        <f>SUM(D32:E32)</f>
        <v>92</v>
      </c>
      <c r="H32" s="74">
        <f>SUMPRODUCT((D32:E32&lt;&gt;"-")*D17:E17)</f>
        <v>200</v>
      </c>
      <c r="I32" s="74">
        <f>SUMPRODUCT(D32:E32,D18:E18)</f>
        <v>92</v>
      </c>
      <c r="J32" s="74">
        <f>SUMPRODUCT((D32:E32&lt;&gt;"-")*D17:E17*D18:E18)</f>
        <v>200</v>
      </c>
      <c r="L32" s="74">
        <f>ROUND(100*G32/H32,1)</f>
        <v>46</v>
      </c>
      <c r="M32" s="74">
        <f>ROUND(100*I32/J32,1)</f>
        <v>46</v>
      </c>
      <c r="P32" s="74" t="str">
        <f>IF(M32&gt;=P9,"A",IF(M32&gt;=P10,"B","C"))</f>
        <v>C</v>
      </c>
      <c r="Q32" s="74" t="str">
        <f>IF(M32&gt;=Q9,"A",IF(M32&gt;=Q10,"B","C"))</f>
        <v>C</v>
      </c>
      <c r="R32" s="74" t="str">
        <f>IF(M32&gt;=R9,"A",IF(M32&gt;=R10,"B","C"))</f>
        <v>C</v>
      </c>
      <c r="T32" s="74" t="s">
        <v>250</v>
      </c>
    </row>
    <row r="33" spans="1:20" x14ac:dyDescent="0.4">
      <c r="A33" s="74" t="str">
        <f>名簿!B21&amp;""</f>
        <v>10010011</v>
      </c>
      <c r="B33" s="74" t="str">
        <f>名簿!C21&amp;""</f>
        <v>吉田</v>
      </c>
      <c r="C33" s="74" t="str">
        <f>名簿!D21&amp;""</f>
        <v>亮</v>
      </c>
      <c r="D33" s="74">
        <v>91</v>
      </c>
      <c r="E33" s="74">
        <v>77</v>
      </c>
      <c r="G33" s="74">
        <f>SUM(D33:E33)</f>
        <v>168</v>
      </c>
      <c r="H33" s="74">
        <f>SUMPRODUCT((D33:E33&lt;&gt;"-")*D17:E17)</f>
        <v>200</v>
      </c>
      <c r="I33" s="74">
        <f>SUMPRODUCT(D33:E33,D18:E18)</f>
        <v>168</v>
      </c>
      <c r="J33" s="74">
        <f>SUMPRODUCT((D33:E33&lt;&gt;"-")*D17:E17*D18:E18)</f>
        <v>200</v>
      </c>
      <c r="L33" s="74">
        <f>ROUND(100*G33/H33,1)</f>
        <v>84</v>
      </c>
      <c r="M33" s="74">
        <f>ROUND(100*I33/J33,1)</f>
        <v>84</v>
      </c>
      <c r="P33" s="74" t="str">
        <f>IF(M33&gt;=P9,"A",IF(M33&gt;=P10,"B","C"))</f>
        <v>B</v>
      </c>
      <c r="Q33" s="74" t="str">
        <f>IF(M33&gt;=Q9,"A",IF(M33&gt;=Q10,"B","C"))</f>
        <v>B</v>
      </c>
      <c r="R33" s="74" t="str">
        <f>IF(M33&gt;=R9,"A",IF(M33&gt;=R10,"B","C"))</f>
        <v>B</v>
      </c>
      <c r="T33" s="74" t="s">
        <v>249</v>
      </c>
    </row>
    <row r="34" spans="1:20" x14ac:dyDescent="0.4">
      <c r="A34" s="74" t="str">
        <f>名簿!B22&amp;""</f>
        <v>10010012</v>
      </c>
      <c r="B34" s="74" t="str">
        <f>名簿!C22&amp;""</f>
        <v>山田</v>
      </c>
      <c r="C34" s="74" t="str">
        <f>名簿!D22&amp;""</f>
        <v>愛</v>
      </c>
      <c r="D34" s="74">
        <v>97</v>
      </c>
      <c r="E34" s="74">
        <v>93</v>
      </c>
      <c r="G34" s="74">
        <f>SUM(D34:E34)</f>
        <v>190</v>
      </c>
      <c r="H34" s="74">
        <f>SUMPRODUCT((D34:E34&lt;&gt;"-")*D17:E17)</f>
        <v>200</v>
      </c>
      <c r="I34" s="74">
        <f>SUMPRODUCT(D34:E34,D18:E18)</f>
        <v>190</v>
      </c>
      <c r="J34" s="74">
        <f>SUMPRODUCT((D34:E34&lt;&gt;"-")*D17:E17*D18:E18)</f>
        <v>200</v>
      </c>
      <c r="L34" s="74">
        <f>ROUND(100*G34/H34,1)</f>
        <v>95</v>
      </c>
      <c r="M34" s="74">
        <f>ROUND(100*I34/J34,1)</f>
        <v>95</v>
      </c>
      <c r="P34" s="74" t="str">
        <f>IF(M34&gt;=P9,"A",IF(M34&gt;=P10,"B","C"))</f>
        <v>A</v>
      </c>
      <c r="Q34" s="74" t="str">
        <f>IF(M34&gt;=Q9,"A",IF(M34&gt;=Q10,"B","C"))</f>
        <v>A</v>
      </c>
      <c r="R34" s="74" t="str">
        <f>IF(M34&gt;=R9,"A",IF(M34&gt;=R10,"B","C"))</f>
        <v>A</v>
      </c>
      <c r="T34" s="74" t="s">
        <v>248</v>
      </c>
    </row>
    <row r="35" spans="1:20" x14ac:dyDescent="0.4">
      <c r="A35" s="74" t="str">
        <f>名簿!B23&amp;""</f>
        <v>10010013</v>
      </c>
      <c r="B35" s="74" t="str">
        <f>名簿!C23&amp;""</f>
        <v>佐々木</v>
      </c>
      <c r="C35" s="74" t="str">
        <f>名簿!D23&amp;""</f>
        <v>浩</v>
      </c>
      <c r="D35" s="74">
        <v>94</v>
      </c>
      <c r="E35" s="74">
        <v>89</v>
      </c>
      <c r="G35" s="74">
        <f>SUM(D35:E35)</f>
        <v>183</v>
      </c>
      <c r="H35" s="74">
        <f>SUMPRODUCT((D35:E35&lt;&gt;"-")*D17:E17)</f>
        <v>200</v>
      </c>
      <c r="I35" s="74">
        <f>SUMPRODUCT(D35:E35,D18:E18)</f>
        <v>183</v>
      </c>
      <c r="J35" s="74">
        <f>SUMPRODUCT((D35:E35&lt;&gt;"-")*D17:E17*D18:E18)</f>
        <v>200</v>
      </c>
      <c r="L35" s="74">
        <f>ROUND(100*G35/H35,1)</f>
        <v>91.5</v>
      </c>
      <c r="M35" s="74">
        <f>ROUND(100*I35/J35,1)</f>
        <v>91.5</v>
      </c>
      <c r="P35" s="74" t="str">
        <f>IF(M35&gt;=P9,"A",IF(M35&gt;=P10,"B","C"))</f>
        <v>A</v>
      </c>
      <c r="Q35" s="74" t="str">
        <f>IF(M35&gt;=Q9,"A",IF(M35&gt;=Q10,"B","C"))</f>
        <v>B</v>
      </c>
      <c r="R35" s="74" t="str">
        <f>IF(M35&gt;=R9,"A",IF(M35&gt;=R10,"B","C"))</f>
        <v>A</v>
      </c>
      <c r="T35" s="74" t="s">
        <v>249</v>
      </c>
    </row>
    <row r="36" spans="1:20" x14ac:dyDescent="0.4">
      <c r="A36" s="74" t="str">
        <f>名簿!B24&amp;""</f>
        <v>10010014</v>
      </c>
      <c r="B36" s="74" t="str">
        <f>名簿!C24&amp;""</f>
        <v>山口</v>
      </c>
      <c r="C36" s="74" t="str">
        <f>名簿!D24&amp;""</f>
        <v>結衣</v>
      </c>
      <c r="D36" s="74">
        <v>92</v>
      </c>
      <c r="E36" s="74">
        <v>98</v>
      </c>
      <c r="G36" s="74">
        <f>SUM(D36:E36)</f>
        <v>190</v>
      </c>
      <c r="H36" s="74">
        <f>SUMPRODUCT((D36:E36&lt;&gt;"-")*D17:E17)</f>
        <v>200</v>
      </c>
      <c r="I36" s="74">
        <f>SUMPRODUCT(D36:E36,D18:E18)</f>
        <v>190</v>
      </c>
      <c r="J36" s="74">
        <f>SUMPRODUCT((D36:E36&lt;&gt;"-")*D17:E17*D18:E18)</f>
        <v>200</v>
      </c>
      <c r="L36" s="74">
        <f>ROUND(100*G36/H36,1)</f>
        <v>95</v>
      </c>
      <c r="M36" s="74">
        <f>ROUND(100*I36/J36,1)</f>
        <v>95</v>
      </c>
      <c r="P36" s="74" t="str">
        <f>IF(M36&gt;=P9,"A",IF(M36&gt;=P10,"B","C"))</f>
        <v>A</v>
      </c>
      <c r="Q36" s="74" t="str">
        <f>IF(M36&gt;=Q9,"A",IF(M36&gt;=Q10,"B","C"))</f>
        <v>A</v>
      </c>
      <c r="R36" s="74" t="str">
        <f>IF(M36&gt;=R9,"A",IF(M36&gt;=R10,"B","C"))</f>
        <v>A</v>
      </c>
      <c r="T36" s="74" t="s">
        <v>248</v>
      </c>
    </row>
    <row r="37" spans="1:20" x14ac:dyDescent="0.4">
      <c r="A37" s="74" t="str">
        <f>名簿!B25&amp;""</f>
        <v>10010015</v>
      </c>
      <c r="B37" s="74" t="str">
        <f>名簿!C25&amp;""</f>
        <v>松本</v>
      </c>
      <c r="C37" s="74" t="str">
        <f>名簿!D25&amp;""</f>
        <v>浩</v>
      </c>
      <c r="D37" s="74">
        <v>82</v>
      </c>
      <c r="E37" s="74">
        <v>77</v>
      </c>
      <c r="G37" s="74">
        <f>SUM(D37:E37)</f>
        <v>159</v>
      </c>
      <c r="H37" s="74">
        <f>SUMPRODUCT((D37:E37&lt;&gt;"-")*D17:E17)</f>
        <v>200</v>
      </c>
      <c r="I37" s="74">
        <f>SUMPRODUCT(D37:E37,D18:E18)</f>
        <v>159</v>
      </c>
      <c r="J37" s="74">
        <f>SUMPRODUCT((D37:E37&lt;&gt;"-")*D17:E17*D18:E18)</f>
        <v>200</v>
      </c>
      <c r="L37" s="74">
        <f>ROUND(100*G37/H37,1)</f>
        <v>79.5</v>
      </c>
      <c r="M37" s="74">
        <f>ROUND(100*I37/J37,1)</f>
        <v>79.5</v>
      </c>
      <c r="P37" s="74" t="str">
        <f>IF(M37&gt;=P9,"A",IF(M37&gt;=P10,"B","C"))</f>
        <v>B</v>
      </c>
      <c r="Q37" s="74" t="str">
        <f>IF(M37&gt;=Q9,"A",IF(M37&gt;=Q10,"B","C"))</f>
        <v>B</v>
      </c>
      <c r="R37" s="74" t="str">
        <f>IF(M37&gt;=R9,"A",IF(M37&gt;=R10,"B","C"))</f>
        <v>B</v>
      </c>
      <c r="T37" s="74" t="s">
        <v>249</v>
      </c>
    </row>
    <row r="38" spans="1:20" x14ac:dyDescent="0.4">
      <c r="A38" s="74" t="str">
        <f>名簿!B26&amp;""</f>
        <v>10010016</v>
      </c>
      <c r="B38" s="74" t="str">
        <f>名簿!C26&amp;""</f>
        <v>井上</v>
      </c>
      <c r="C38" s="74" t="str">
        <f>名簿!D26&amp;""</f>
        <v>結衣</v>
      </c>
      <c r="D38" s="74">
        <v>82</v>
      </c>
      <c r="E38" s="74">
        <v>89</v>
      </c>
      <c r="G38" s="74">
        <f>SUM(D38:E38)</f>
        <v>171</v>
      </c>
      <c r="H38" s="74">
        <f>SUMPRODUCT((D38:E38&lt;&gt;"-")*D17:E17)</f>
        <v>200</v>
      </c>
      <c r="I38" s="74">
        <f>SUMPRODUCT(D38:E38,D18:E18)</f>
        <v>171</v>
      </c>
      <c r="J38" s="74">
        <f>SUMPRODUCT((D38:E38&lt;&gt;"-")*D17:E17*D18:E18)</f>
        <v>200</v>
      </c>
      <c r="L38" s="74">
        <f>ROUND(100*G38/H38,1)</f>
        <v>85.5</v>
      </c>
      <c r="M38" s="74">
        <f>ROUND(100*I38/J38,1)</f>
        <v>85.5</v>
      </c>
      <c r="P38" s="74" t="str">
        <f>IF(M38&gt;=P9,"A",IF(M38&gt;=P10,"B","C"))</f>
        <v>B</v>
      </c>
      <c r="Q38" s="74" t="str">
        <f>IF(M38&gt;=Q9,"A",IF(M38&gt;=Q10,"B","C"))</f>
        <v>B</v>
      </c>
      <c r="R38" s="74" t="str">
        <f>IF(M38&gt;=R9,"A",IF(M38&gt;=R10,"B","C"))</f>
        <v>A</v>
      </c>
      <c r="T38" s="74" t="s">
        <v>249</v>
      </c>
    </row>
    <row r="39" spans="1:20" x14ac:dyDescent="0.4">
      <c r="A39" s="74" t="str">
        <f>名簿!B27&amp;""</f>
        <v>10010017</v>
      </c>
      <c r="B39" s="74" t="str">
        <f>名簿!C27&amp;""</f>
        <v>木村</v>
      </c>
      <c r="C39" s="74" t="str">
        <f>名簿!D27&amp;""</f>
        <v>学</v>
      </c>
      <c r="D39" s="74">
        <v>94</v>
      </c>
      <c r="E39" s="74">
        <v>79</v>
      </c>
      <c r="G39" s="74">
        <f>SUM(D39:E39)</f>
        <v>173</v>
      </c>
      <c r="H39" s="74">
        <f>SUMPRODUCT((D39:E39&lt;&gt;"-")*D17:E17)</f>
        <v>200</v>
      </c>
      <c r="I39" s="74">
        <f>SUMPRODUCT(D39:E39,D18:E18)</f>
        <v>173</v>
      </c>
      <c r="J39" s="74">
        <f>SUMPRODUCT((D39:E39&lt;&gt;"-")*D17:E17*D18:E18)</f>
        <v>200</v>
      </c>
      <c r="L39" s="74">
        <f>ROUND(100*G39/H39,1)</f>
        <v>86.5</v>
      </c>
      <c r="M39" s="74">
        <f>ROUND(100*I39/J39,1)</f>
        <v>86.5</v>
      </c>
      <c r="P39" s="74" t="str">
        <f>IF(M39&gt;=P9,"A",IF(M39&gt;=P10,"B","C"))</f>
        <v>B</v>
      </c>
      <c r="Q39" s="74" t="str">
        <f>IF(M39&gt;=Q9,"A",IF(M39&gt;=Q10,"B","C"))</f>
        <v>B</v>
      </c>
      <c r="R39" s="74" t="str">
        <f>IF(M39&gt;=R9,"A",IF(M39&gt;=R10,"B","C"))</f>
        <v>A</v>
      </c>
      <c r="T39" s="74" t="s">
        <v>249</v>
      </c>
    </row>
    <row r="40" spans="1:20" x14ac:dyDescent="0.4">
      <c r="A40" s="74" t="str">
        <f>名簿!B28&amp;""</f>
        <v>10010018</v>
      </c>
      <c r="B40" s="74" t="str">
        <f>名簿!C28&amp;""</f>
        <v>林</v>
      </c>
      <c r="C40" s="74" t="str">
        <f>名簿!D28&amp;""</f>
        <v>凛</v>
      </c>
      <c r="D40" s="74">
        <v>88</v>
      </c>
      <c r="E40" s="74">
        <v>76</v>
      </c>
      <c r="G40" s="74">
        <f>SUM(D40:E40)</f>
        <v>164</v>
      </c>
      <c r="H40" s="74">
        <f>SUMPRODUCT((D40:E40&lt;&gt;"-")*D17:E17)</f>
        <v>200</v>
      </c>
      <c r="I40" s="74">
        <f>SUMPRODUCT(D40:E40,D18:E18)</f>
        <v>164</v>
      </c>
      <c r="J40" s="74">
        <f>SUMPRODUCT((D40:E40&lt;&gt;"-")*D17:E17*D18:E18)</f>
        <v>200</v>
      </c>
      <c r="L40" s="74">
        <f>ROUND(100*G40/H40,1)</f>
        <v>82</v>
      </c>
      <c r="M40" s="74">
        <f>ROUND(100*I40/J40,1)</f>
        <v>82</v>
      </c>
      <c r="P40" s="74" t="str">
        <f>IF(M40&gt;=P9,"A",IF(M40&gt;=P10,"B","C"))</f>
        <v>B</v>
      </c>
      <c r="Q40" s="74" t="str">
        <f>IF(M40&gt;=Q9,"A",IF(M40&gt;=Q10,"B","C"))</f>
        <v>B</v>
      </c>
      <c r="R40" s="74" t="str">
        <f>IF(M40&gt;=R9,"A",IF(M40&gt;=R10,"B","C"))</f>
        <v>B</v>
      </c>
      <c r="T40" s="74" t="s">
        <v>249</v>
      </c>
    </row>
    <row r="41" spans="1:20" x14ac:dyDescent="0.4">
      <c r="A41" s="74" t="str">
        <f>名簿!B29&amp;""</f>
        <v>10010019</v>
      </c>
      <c r="B41" s="74" t="str">
        <f>名簿!C29&amp;""</f>
        <v>斎藤</v>
      </c>
      <c r="C41" s="74" t="str">
        <f>名簿!D29&amp;""</f>
        <v>翔太</v>
      </c>
      <c r="D41" s="74">
        <v>93</v>
      </c>
      <c r="E41" s="74">
        <v>90</v>
      </c>
      <c r="G41" s="74">
        <f>SUM(D41:E41)</f>
        <v>183</v>
      </c>
      <c r="H41" s="74">
        <f>SUMPRODUCT((D41:E41&lt;&gt;"-")*D17:E17)</f>
        <v>200</v>
      </c>
      <c r="I41" s="74">
        <f>SUMPRODUCT(D41:E41,D18:E18)</f>
        <v>183</v>
      </c>
      <c r="J41" s="74">
        <f>SUMPRODUCT((D41:E41&lt;&gt;"-")*D17:E17*D18:E18)</f>
        <v>200</v>
      </c>
      <c r="L41" s="74">
        <f>ROUND(100*G41/H41,1)</f>
        <v>91.5</v>
      </c>
      <c r="M41" s="74">
        <f>ROUND(100*I41/J41,1)</f>
        <v>91.5</v>
      </c>
      <c r="P41" s="74" t="str">
        <f>IF(M41&gt;=P9,"A",IF(M41&gt;=P10,"B","C"))</f>
        <v>A</v>
      </c>
      <c r="Q41" s="74" t="str">
        <f>IF(M41&gt;=Q9,"A",IF(M41&gt;=Q10,"B","C"))</f>
        <v>B</v>
      </c>
      <c r="R41" s="74" t="str">
        <f>IF(M41&gt;=R9,"A",IF(M41&gt;=R10,"B","C"))</f>
        <v>A</v>
      </c>
      <c r="T41" s="74" t="s">
        <v>249</v>
      </c>
    </row>
    <row r="42" spans="1:20" x14ac:dyDescent="0.4">
      <c r="A42" s="74" t="str">
        <f>名簿!B30&amp;""</f>
        <v>10010020</v>
      </c>
      <c r="B42" s="74" t="str">
        <f>名簿!C30&amp;""</f>
        <v>清水</v>
      </c>
      <c r="C42" s="74" t="str">
        <f>名簿!D30&amp;""</f>
        <v>結衣</v>
      </c>
      <c r="D42" s="74">
        <v>82</v>
      </c>
      <c r="E42" s="74">
        <v>78</v>
      </c>
      <c r="G42" s="74">
        <f>SUM(D42:E42)</f>
        <v>160</v>
      </c>
      <c r="H42" s="74">
        <f>SUMPRODUCT((D42:E42&lt;&gt;"-")*D17:E17)</f>
        <v>200</v>
      </c>
      <c r="I42" s="74">
        <f>SUMPRODUCT(D42:E42,D18:E18)</f>
        <v>160</v>
      </c>
      <c r="J42" s="74">
        <f>SUMPRODUCT((D42:E42&lt;&gt;"-")*D17:E17*D18:E18)</f>
        <v>200</v>
      </c>
      <c r="L42" s="74">
        <f>ROUND(100*G42/H42,1)</f>
        <v>80</v>
      </c>
      <c r="M42" s="74">
        <f>ROUND(100*I42/J42,1)</f>
        <v>80</v>
      </c>
      <c r="P42" s="74" t="str">
        <f>IF(M42&gt;=P9,"A",IF(M42&gt;=P10,"B","C"))</f>
        <v>B</v>
      </c>
      <c r="Q42" s="74" t="str">
        <f>IF(M42&gt;=Q9,"A",IF(M42&gt;=Q10,"B","C"))</f>
        <v>B</v>
      </c>
      <c r="R42" s="74" t="str">
        <f>IF(M42&gt;=R9,"A",IF(M42&gt;=R10,"B","C"))</f>
        <v>B</v>
      </c>
      <c r="T42" s="74" t="s">
        <v>249</v>
      </c>
    </row>
    <row r="43" spans="1:20" x14ac:dyDescent="0.4">
      <c r="A43" s="74" t="str">
        <f>名簿!B31&amp;""</f>
        <v>10010021</v>
      </c>
      <c r="B43" s="74" t="str">
        <f>名簿!C31&amp;""</f>
        <v>山崎</v>
      </c>
      <c r="C43" s="74" t="str">
        <f>名簿!D31&amp;""</f>
        <v>一郎</v>
      </c>
      <c r="D43" s="74">
        <v>89</v>
      </c>
      <c r="E43" s="74">
        <v>75</v>
      </c>
      <c r="G43" s="74">
        <f>SUM(D43:E43)</f>
        <v>164</v>
      </c>
      <c r="H43" s="74">
        <f>SUMPRODUCT((D43:E43&lt;&gt;"-")*D17:E17)</f>
        <v>200</v>
      </c>
      <c r="I43" s="74">
        <f>SUMPRODUCT(D43:E43,D18:E18)</f>
        <v>164</v>
      </c>
      <c r="J43" s="74">
        <f>SUMPRODUCT((D43:E43&lt;&gt;"-")*D17:E17*D18:E18)</f>
        <v>200</v>
      </c>
      <c r="L43" s="74">
        <f>ROUND(100*G43/H43,1)</f>
        <v>82</v>
      </c>
      <c r="M43" s="74">
        <f>ROUND(100*I43/J43,1)</f>
        <v>82</v>
      </c>
      <c r="P43" s="74" t="str">
        <f>IF(M43&gt;=P9,"A",IF(M43&gt;=P10,"B","C"))</f>
        <v>B</v>
      </c>
      <c r="Q43" s="74" t="str">
        <f>IF(M43&gt;=Q9,"A",IF(M43&gt;=Q10,"B","C"))</f>
        <v>B</v>
      </c>
      <c r="R43" s="74" t="str">
        <f>IF(M43&gt;=R9,"A",IF(M43&gt;=R10,"B","C"))</f>
        <v>B</v>
      </c>
      <c r="T43" s="74" t="s">
        <v>249</v>
      </c>
    </row>
    <row r="44" spans="1:20" x14ac:dyDescent="0.4">
      <c r="A44" s="74" t="str">
        <f>名簿!B32&amp;""</f>
        <v>10010022</v>
      </c>
      <c r="B44" s="74" t="str">
        <f>名簿!C32&amp;""</f>
        <v>森</v>
      </c>
      <c r="C44" s="74" t="str">
        <f>名簿!D32&amp;""</f>
        <v>凛</v>
      </c>
      <c r="D44" s="74">
        <v>84</v>
      </c>
      <c r="E44" s="74">
        <v>71</v>
      </c>
      <c r="G44" s="74">
        <f>SUM(D44:E44)</f>
        <v>155</v>
      </c>
      <c r="H44" s="74">
        <f>SUMPRODUCT((D44:E44&lt;&gt;"-")*D17:E17)</f>
        <v>200</v>
      </c>
      <c r="I44" s="74">
        <f>SUMPRODUCT(D44:E44,D18:E18)</f>
        <v>155</v>
      </c>
      <c r="J44" s="74">
        <f>SUMPRODUCT((D44:E44&lt;&gt;"-")*D17:E17*D18:E18)</f>
        <v>200</v>
      </c>
      <c r="L44" s="74">
        <f>ROUND(100*G44/H44,1)</f>
        <v>77.5</v>
      </c>
      <c r="M44" s="74">
        <f>ROUND(100*I44/J44,1)</f>
        <v>77.5</v>
      </c>
      <c r="P44" s="74" t="str">
        <f>IF(M44&gt;=P9,"A",IF(M44&gt;=P10,"B","C"))</f>
        <v>B</v>
      </c>
      <c r="Q44" s="74" t="str">
        <f>IF(M44&gt;=Q9,"A",IF(M44&gt;=Q10,"B","C"))</f>
        <v>B</v>
      </c>
      <c r="R44" s="74" t="str">
        <f>IF(M44&gt;=R9,"A",IF(M44&gt;=R10,"B","C"))</f>
        <v>B</v>
      </c>
      <c r="T44" s="74" t="s">
        <v>249</v>
      </c>
    </row>
    <row r="45" spans="1:20" x14ac:dyDescent="0.4">
      <c r="A45" s="74" t="str">
        <f>名簿!B33&amp;""</f>
        <v>10010023</v>
      </c>
      <c r="B45" s="74" t="str">
        <f>名簿!C33&amp;""</f>
        <v>池田</v>
      </c>
      <c r="C45" s="74" t="str">
        <f>名簿!D33&amp;""</f>
        <v>直樹</v>
      </c>
      <c r="D45" s="74">
        <v>89</v>
      </c>
      <c r="E45" s="74">
        <v>96</v>
      </c>
      <c r="G45" s="74">
        <f>SUM(D45:E45)</f>
        <v>185</v>
      </c>
      <c r="H45" s="74">
        <f>SUMPRODUCT((D45:E45&lt;&gt;"-")*D17:E17)</f>
        <v>200</v>
      </c>
      <c r="I45" s="74">
        <f>SUMPRODUCT(D45:E45,D18:E18)</f>
        <v>185</v>
      </c>
      <c r="J45" s="74">
        <f>SUMPRODUCT((D45:E45&lt;&gt;"-")*D17:E17*D18:E18)</f>
        <v>200</v>
      </c>
      <c r="L45" s="74">
        <f>ROUND(100*G45/H45,1)</f>
        <v>92.5</v>
      </c>
      <c r="M45" s="74">
        <f>ROUND(100*I45/J45,1)</f>
        <v>92.5</v>
      </c>
      <c r="P45" s="74" t="str">
        <f>IF(M45&gt;=P9,"A",IF(M45&gt;=P10,"B","C"))</f>
        <v>A</v>
      </c>
      <c r="Q45" s="74" t="str">
        <f>IF(M45&gt;=Q9,"A",IF(M45&gt;=Q10,"B","C"))</f>
        <v>B</v>
      </c>
      <c r="R45" s="74" t="str">
        <f>IF(M45&gt;=R9,"A",IF(M45&gt;=R10,"B","C"))</f>
        <v>A</v>
      </c>
      <c r="T45" s="74" t="s">
        <v>249</v>
      </c>
    </row>
    <row r="46" spans="1:20" x14ac:dyDescent="0.4">
      <c r="A46" s="74" t="str">
        <f>名簿!B34&amp;""</f>
        <v>10010024</v>
      </c>
      <c r="B46" s="74" t="str">
        <f>名簿!C34&amp;""</f>
        <v>橋本</v>
      </c>
      <c r="C46" s="74" t="str">
        <f>名簿!D34&amp;""</f>
        <v>愛</v>
      </c>
      <c r="D46" s="74">
        <v>76</v>
      </c>
      <c r="E46" s="74">
        <v>94</v>
      </c>
      <c r="G46" s="74">
        <f>SUM(D46:E46)</f>
        <v>170</v>
      </c>
      <c r="H46" s="74">
        <f>SUMPRODUCT((D46:E46&lt;&gt;"-")*D17:E17)</f>
        <v>200</v>
      </c>
      <c r="I46" s="74">
        <f>SUMPRODUCT(D46:E46,D18:E18)</f>
        <v>170</v>
      </c>
      <c r="J46" s="74">
        <f>SUMPRODUCT((D46:E46&lt;&gt;"-")*D17:E17*D18:E18)</f>
        <v>200</v>
      </c>
      <c r="L46" s="74">
        <f>ROUND(100*G46/H46,1)</f>
        <v>85</v>
      </c>
      <c r="M46" s="74">
        <f>ROUND(100*I46/J46,1)</f>
        <v>85</v>
      </c>
      <c r="P46" s="74" t="str">
        <f>IF(M46&gt;=P9,"A",IF(M46&gt;=P10,"B","C"))</f>
        <v>B</v>
      </c>
      <c r="Q46" s="74" t="str">
        <f>IF(M46&gt;=Q9,"A",IF(M46&gt;=Q10,"B","C"))</f>
        <v>B</v>
      </c>
      <c r="R46" s="74" t="str">
        <f>IF(M46&gt;=R9,"A",IF(M46&gt;=R10,"B","C"))</f>
        <v>A</v>
      </c>
      <c r="T46" s="74" t="s">
        <v>249</v>
      </c>
    </row>
    <row r="47" spans="1:20" x14ac:dyDescent="0.4">
      <c r="A47" s="74" t="str">
        <f>名簿!B35&amp;""</f>
        <v>10010025</v>
      </c>
      <c r="B47" s="74" t="str">
        <f>名簿!C35&amp;""</f>
        <v>阿部</v>
      </c>
      <c r="C47" s="74" t="str">
        <f>名簿!D35&amp;""</f>
        <v>健太</v>
      </c>
      <c r="D47" s="74">
        <v>78</v>
      </c>
      <c r="E47" s="74">
        <v>94</v>
      </c>
      <c r="G47" s="74">
        <f>SUM(D47:E47)</f>
        <v>172</v>
      </c>
      <c r="H47" s="74">
        <f>SUMPRODUCT((D47:E47&lt;&gt;"-")*D17:E17)</f>
        <v>200</v>
      </c>
      <c r="I47" s="74">
        <f>SUMPRODUCT(D47:E47,D18:E18)</f>
        <v>172</v>
      </c>
      <c r="J47" s="74">
        <f>SUMPRODUCT((D47:E47&lt;&gt;"-")*D17:E17*D18:E18)</f>
        <v>200</v>
      </c>
      <c r="L47" s="74">
        <f>ROUND(100*G47/H47,1)</f>
        <v>86</v>
      </c>
      <c r="M47" s="74">
        <f>ROUND(100*I47/J47,1)</f>
        <v>86</v>
      </c>
      <c r="P47" s="74" t="str">
        <f>IF(M47&gt;=P9,"A",IF(M47&gt;=P10,"B","C"))</f>
        <v>B</v>
      </c>
      <c r="Q47" s="74" t="str">
        <f>IF(M47&gt;=Q9,"A",IF(M47&gt;=Q10,"B","C"))</f>
        <v>B</v>
      </c>
      <c r="R47" s="74" t="str">
        <f>IF(M47&gt;=R9,"A",IF(M47&gt;=R10,"B","C"))</f>
        <v>A</v>
      </c>
      <c r="T47" s="74" t="s">
        <v>249</v>
      </c>
    </row>
    <row r="48" spans="1:20" x14ac:dyDescent="0.4">
      <c r="A48" s="74" t="str">
        <f>名簿!B36&amp;""</f>
        <v>10010026</v>
      </c>
      <c r="B48" s="74" t="str">
        <f>名簿!C36&amp;""</f>
        <v>石川</v>
      </c>
      <c r="C48" s="74" t="str">
        <f>名簿!D36&amp;""</f>
        <v>陽菜</v>
      </c>
      <c r="D48" s="74">
        <v>73</v>
      </c>
      <c r="E48" s="74">
        <v>70</v>
      </c>
      <c r="G48" s="74">
        <f>SUM(D48:E48)</f>
        <v>143</v>
      </c>
      <c r="H48" s="74">
        <f>SUMPRODUCT((D48:E48&lt;&gt;"-")*D17:E17)</f>
        <v>200</v>
      </c>
      <c r="I48" s="74">
        <f>SUMPRODUCT(D48:E48,D18:E18)</f>
        <v>143</v>
      </c>
      <c r="J48" s="74">
        <f>SUMPRODUCT((D48:E48&lt;&gt;"-")*D17:E17*D18:E18)</f>
        <v>200</v>
      </c>
      <c r="L48" s="74">
        <f>ROUND(100*G48/H48,1)</f>
        <v>71.5</v>
      </c>
      <c r="M48" s="74">
        <f>ROUND(100*I48/J48,1)</f>
        <v>71.5</v>
      </c>
      <c r="P48" s="74" t="str">
        <f>IF(M48&gt;=P9,"A",IF(M48&gt;=P10,"B","C"))</f>
        <v>B</v>
      </c>
      <c r="Q48" s="74" t="str">
        <f>IF(M48&gt;=Q9,"A",IF(M48&gt;=Q10,"B","C"))</f>
        <v>C</v>
      </c>
      <c r="R48" s="74" t="str">
        <f>IF(M48&gt;=R9,"A",IF(M48&gt;=R10,"B","C"))</f>
        <v>B</v>
      </c>
      <c r="T48" s="74" t="s">
        <v>250</v>
      </c>
    </row>
    <row r="49" spans="1:20" x14ac:dyDescent="0.4">
      <c r="A49" s="74" t="str">
        <f>名簿!B37&amp;""</f>
        <v>10010027</v>
      </c>
      <c r="B49" s="74" t="str">
        <f>名簿!C37&amp;""</f>
        <v>山下</v>
      </c>
      <c r="C49" s="74" t="str">
        <f>名簿!D37&amp;""</f>
        <v>学</v>
      </c>
      <c r="D49" s="74">
        <v>78</v>
      </c>
      <c r="E49" s="74">
        <v>100</v>
      </c>
      <c r="G49" s="74">
        <f>SUM(D49:E49)</f>
        <v>178</v>
      </c>
      <c r="H49" s="74">
        <f>SUMPRODUCT((D49:E49&lt;&gt;"-")*D17:E17)</f>
        <v>200</v>
      </c>
      <c r="I49" s="74">
        <f>SUMPRODUCT(D49:E49,D18:E18)</f>
        <v>178</v>
      </c>
      <c r="J49" s="74">
        <f>SUMPRODUCT((D49:E49&lt;&gt;"-")*D17:E17*D18:E18)</f>
        <v>200</v>
      </c>
      <c r="L49" s="74">
        <f>ROUND(100*G49/H49,1)</f>
        <v>89</v>
      </c>
      <c r="M49" s="74">
        <f>ROUND(100*I49/J49,1)</f>
        <v>89</v>
      </c>
      <c r="P49" s="74" t="str">
        <f>IF(M49&gt;=P9,"A",IF(M49&gt;=P10,"B","C"))</f>
        <v>B</v>
      </c>
      <c r="Q49" s="74" t="str">
        <f>IF(M49&gt;=Q9,"A",IF(M49&gt;=Q10,"B","C"))</f>
        <v>B</v>
      </c>
      <c r="R49" s="74" t="str">
        <f>IF(M49&gt;=R9,"A",IF(M49&gt;=R10,"B","C"))</f>
        <v>A</v>
      </c>
      <c r="T49" s="74" t="s">
        <v>249</v>
      </c>
    </row>
    <row r="50" spans="1:20" x14ac:dyDescent="0.4">
      <c r="A50" s="74" t="str">
        <f>名簿!B38&amp;""</f>
        <v>10010028</v>
      </c>
      <c r="B50" s="74" t="str">
        <f>名簿!C38&amp;""</f>
        <v>中島</v>
      </c>
      <c r="C50" s="74" t="str">
        <f>名簿!D38&amp;""</f>
        <v>凛</v>
      </c>
      <c r="D50" s="74">
        <v>95</v>
      </c>
      <c r="E50" s="74">
        <v>91</v>
      </c>
      <c r="G50" s="74">
        <f>SUM(D50:E50)</f>
        <v>186</v>
      </c>
      <c r="H50" s="74">
        <f>SUMPRODUCT((D50:E50&lt;&gt;"-")*D17:E17)</f>
        <v>200</v>
      </c>
      <c r="I50" s="74">
        <f>SUMPRODUCT(D50:E50,D18:E18)</f>
        <v>186</v>
      </c>
      <c r="J50" s="74">
        <f>SUMPRODUCT((D50:E50&lt;&gt;"-")*D17:E17*D18:E18)</f>
        <v>200</v>
      </c>
      <c r="L50" s="74">
        <f>ROUND(100*G50/H50,1)</f>
        <v>93</v>
      </c>
      <c r="M50" s="74">
        <f>ROUND(100*I50/J50,1)</f>
        <v>93</v>
      </c>
      <c r="P50" s="74" t="str">
        <f>IF(M50&gt;=P9,"A",IF(M50&gt;=P10,"B","C"))</f>
        <v>A</v>
      </c>
      <c r="Q50" s="74" t="str">
        <f>IF(M50&gt;=Q9,"A",IF(M50&gt;=Q10,"B","C"))</f>
        <v>B</v>
      </c>
      <c r="R50" s="74" t="str">
        <f>IF(M50&gt;=R9,"A",IF(M50&gt;=R10,"B","C"))</f>
        <v>A</v>
      </c>
      <c r="T50" s="74" t="s">
        <v>249</v>
      </c>
    </row>
    <row r="51" spans="1:20" x14ac:dyDescent="0.4">
      <c r="A51" s="74" t="str">
        <f>名簿!B39&amp;""</f>
        <v>10010029</v>
      </c>
      <c r="B51" s="74" t="str">
        <f>名簿!C39&amp;""</f>
        <v>石井</v>
      </c>
      <c r="C51" s="74" t="str">
        <f>名簿!D39&amp;""</f>
        <v>健太</v>
      </c>
      <c r="D51" s="74">
        <v>74</v>
      </c>
      <c r="E51" s="74">
        <v>85</v>
      </c>
      <c r="G51" s="74">
        <f>SUM(D51:E51)</f>
        <v>159</v>
      </c>
      <c r="H51" s="74">
        <f>SUMPRODUCT((D51:E51&lt;&gt;"-")*D17:E17)</f>
        <v>200</v>
      </c>
      <c r="I51" s="74">
        <f>SUMPRODUCT(D51:E51,D18:E18)</f>
        <v>159</v>
      </c>
      <c r="J51" s="74">
        <f>SUMPRODUCT((D51:E51&lt;&gt;"-")*D17:E17*D18:E18)</f>
        <v>200</v>
      </c>
      <c r="L51" s="74">
        <f>ROUND(100*G51/H51,1)</f>
        <v>79.5</v>
      </c>
      <c r="M51" s="74">
        <f>ROUND(100*I51/J51,1)</f>
        <v>79.5</v>
      </c>
      <c r="P51" s="74" t="str">
        <f>IF(M51&gt;=P9,"A",IF(M51&gt;=P10,"B","C"))</f>
        <v>B</v>
      </c>
      <c r="Q51" s="74" t="str">
        <f>IF(M51&gt;=Q9,"A",IF(M51&gt;=Q10,"B","C"))</f>
        <v>B</v>
      </c>
      <c r="R51" s="74" t="str">
        <f>IF(M51&gt;=R9,"A",IF(M51&gt;=R10,"B","C"))</f>
        <v>B</v>
      </c>
      <c r="T51" s="74" t="s">
        <v>249</v>
      </c>
    </row>
    <row r="52" spans="1:20" x14ac:dyDescent="0.4">
      <c r="A52" s="74" t="str">
        <f>名簿!B40&amp;""</f>
        <v>10010030</v>
      </c>
      <c r="B52" s="74" t="str">
        <f>名簿!C40&amp;""</f>
        <v>小川</v>
      </c>
      <c r="C52" s="74" t="str">
        <f>名簿!D40&amp;""</f>
        <v>楓</v>
      </c>
      <c r="D52" s="74">
        <v>85</v>
      </c>
      <c r="E52" s="74">
        <v>95</v>
      </c>
      <c r="G52" s="74">
        <f>SUM(D52:E52)</f>
        <v>180</v>
      </c>
      <c r="H52" s="74">
        <f>SUMPRODUCT((D52:E52&lt;&gt;"-")*D17:E17)</f>
        <v>200</v>
      </c>
      <c r="I52" s="74">
        <f>SUMPRODUCT(D52:E52,D18:E18)</f>
        <v>180</v>
      </c>
      <c r="J52" s="74">
        <f>SUMPRODUCT((D52:E52&lt;&gt;"-")*D17:E17*D18:E18)</f>
        <v>200</v>
      </c>
      <c r="L52" s="74">
        <f>ROUND(100*G52/H52,1)</f>
        <v>90</v>
      </c>
      <c r="M52" s="74">
        <f>ROUND(100*I52/J52,1)</f>
        <v>90</v>
      </c>
      <c r="P52" s="74" t="str">
        <f>IF(M52&gt;=P9,"A",IF(M52&gt;=P10,"B","C"))</f>
        <v>A</v>
      </c>
      <c r="Q52" s="74" t="str">
        <f>IF(M52&gt;=Q9,"A",IF(M52&gt;=Q10,"B","C"))</f>
        <v>B</v>
      </c>
      <c r="R52" s="74" t="str">
        <f>IF(M52&gt;=R9,"A",IF(M52&gt;=R10,"B","C"))</f>
        <v>A</v>
      </c>
      <c r="T52" s="74" t="s">
        <v>249</v>
      </c>
    </row>
    <row r="53" spans="1:20" x14ac:dyDescent="0.4">
      <c r="A53" s="74" t="str">
        <f>名簿!B41&amp;""</f>
        <v/>
      </c>
      <c r="B53" s="74" t="str">
        <f>名簿!C41&amp;""</f>
        <v/>
      </c>
      <c r="C53" s="74" t="str">
        <f>名簿!D41&amp;""</f>
        <v/>
      </c>
    </row>
    <row r="54" spans="1:20" x14ac:dyDescent="0.4">
      <c r="A54" s="74" t="str">
        <f>名簿!B42&amp;""</f>
        <v/>
      </c>
      <c r="B54" s="74" t="str">
        <f>名簿!C42&amp;""</f>
        <v/>
      </c>
      <c r="C54" s="74" t="str">
        <f>名簿!D42&amp;""</f>
        <v/>
      </c>
    </row>
    <row r="55" spans="1:20" x14ac:dyDescent="0.4">
      <c r="A55" s="74" t="str">
        <f>名簿!B43&amp;""</f>
        <v/>
      </c>
      <c r="B55" s="74" t="str">
        <f>名簿!C43&amp;""</f>
        <v/>
      </c>
      <c r="C55" s="74" t="str">
        <f>名簿!D43&amp;""</f>
        <v/>
      </c>
    </row>
    <row r="56" spans="1:20" x14ac:dyDescent="0.4">
      <c r="A56" s="74" t="str">
        <f>名簿!B44&amp;""</f>
        <v/>
      </c>
      <c r="B56" s="74" t="str">
        <f>名簿!C44&amp;""</f>
        <v/>
      </c>
      <c r="C56" s="74" t="str">
        <f>名簿!D44&amp;""</f>
        <v/>
      </c>
    </row>
    <row r="57" spans="1:20" x14ac:dyDescent="0.4">
      <c r="A57" s="74" t="str">
        <f>名簿!B45&amp;""</f>
        <v/>
      </c>
      <c r="B57" s="74" t="str">
        <f>名簿!C45&amp;""</f>
        <v/>
      </c>
      <c r="C57" s="74" t="str">
        <f>名簿!D45&amp;""</f>
        <v/>
      </c>
    </row>
    <row r="58" spans="1:20" x14ac:dyDescent="0.4">
      <c r="A58" s="74" t="str">
        <f>名簿!B46&amp;""</f>
        <v/>
      </c>
      <c r="B58" s="74" t="str">
        <f>名簿!C46&amp;""</f>
        <v/>
      </c>
      <c r="C58" s="74" t="str">
        <f>名簿!D46&amp;""</f>
        <v/>
      </c>
    </row>
    <row r="59" spans="1:20" x14ac:dyDescent="0.4">
      <c r="A59" s="74" t="str">
        <f>名簿!B47&amp;""</f>
        <v/>
      </c>
      <c r="B59" s="74" t="str">
        <f>名簿!C47&amp;""</f>
        <v/>
      </c>
      <c r="C59" s="74" t="str">
        <f>名簿!D47&amp;""</f>
        <v/>
      </c>
    </row>
    <row r="60" spans="1:20" x14ac:dyDescent="0.4">
      <c r="A60" s="74" t="str">
        <f>名簿!B48&amp;""</f>
        <v/>
      </c>
      <c r="B60" s="74" t="str">
        <f>名簿!C48&amp;""</f>
        <v/>
      </c>
      <c r="C60" s="74" t="str">
        <f>名簿!D48&amp;""</f>
        <v/>
      </c>
    </row>
    <row r="61" spans="1:20" x14ac:dyDescent="0.4">
      <c r="A61" s="74" t="str">
        <f>名簿!B49&amp;""</f>
        <v/>
      </c>
      <c r="B61" s="74" t="str">
        <f>名簿!C49&amp;""</f>
        <v/>
      </c>
      <c r="C61" s="74" t="str">
        <f>名簿!D49&amp;""</f>
        <v/>
      </c>
    </row>
    <row r="62" spans="1:20" x14ac:dyDescent="0.4">
      <c r="A62" s="74" t="str">
        <f>名簿!B50&amp;""</f>
        <v/>
      </c>
      <c r="B62" s="74" t="str">
        <f>名簿!C50&amp;""</f>
        <v/>
      </c>
      <c r="C62" s="74" t="str">
        <f>名簿!D50&amp;""</f>
        <v/>
      </c>
    </row>
  </sheetData>
  <sheetProtection algorithmName="SHA-512" hashValue="E3AbuZzPt19eCPIkzJKDYtw4ClaVvYkSVg1dJTO9kzKovz1DZx/Ladjb1dqLg5TrVDd5bxh1FXAFZpT4H8YgRQ==" saltValue="tYXXNwfYv1NLOIFgJng8wA==" spinCount="100000" sheet="1" objects="1"/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sh_subject.Btm_adjustscore_hide_reveal">
                <anchor moveWithCells="1" sizeWithCells="1">
                  <from>
                    <xdr:col>0</xdr:col>
                    <xdr:colOff>9525</xdr:colOff>
                    <xdr:row>4</xdr:row>
                    <xdr:rowOff>9525</xdr:rowOff>
                  </from>
                  <to>
                    <xdr:col>1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_subject.Btn_IS_adj_score">
                <anchor moveWithCells="1" sizeWithCells="1">
                  <from>
                    <xdr:col>0</xdr:col>
                    <xdr:colOff>19050</xdr:colOff>
                    <xdr:row>3</xdr:row>
                    <xdr:rowOff>9525</xdr:rowOff>
                  </from>
                  <to>
                    <xdr:col>1</xdr:col>
                    <xdr:colOff>9525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sh_subject.Btn_NormalizeWeight_Click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1</xdr:col>
                    <xdr:colOff>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7" name="Button 16">
              <controlPr defaultSize="0" print="0" autoFill="0" autoPict="0" macro="[0]!sh_subject.Btn_stats_hide_reveal">
                <anchor moveWithCells="1" sizeWithCells="1">
                  <from>
                    <xdr:col>0</xdr:col>
                    <xdr:colOff>9525</xdr:colOff>
                    <xdr:row>5</xdr:row>
                    <xdr:rowOff>19050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8" name="perspective1">
              <controlPr defaultSize="0" autoFill="0" autoLine="0" autoPict="0">
                <anchor moveWithCells="1">
                  <from>
                    <xdr:col>1</xdr:col>
                    <xdr:colOff>47625</xdr:colOff>
                    <xdr:row>2</xdr:row>
                    <xdr:rowOff>9525</xdr:rowOff>
                  </from>
                  <to>
                    <xdr:col>2</xdr:col>
                    <xdr:colOff>619125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9" name="perspective2">
              <controlPr defaultSize="0" autoFill="0" autoLine="0" autoPict="0">
                <anchor moveWithCells="1">
                  <from>
                    <xdr:col>3</xdr:col>
                    <xdr:colOff>38100</xdr:colOff>
                    <xdr:row>2</xdr:row>
                    <xdr:rowOff>0</xdr:rowOff>
                  </from>
                  <to>
                    <xdr:col>6</xdr:col>
                    <xdr:colOff>257175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0" name="perspective3">
              <controlPr defaultSize="0" autoFill="0" autoLine="0" autoPict="0">
                <anchor moveWithCells="1">
                  <from>
                    <xdr:col>6</xdr:col>
                    <xdr:colOff>333375</xdr:colOff>
                    <xdr:row>2</xdr:row>
                    <xdr:rowOff>0</xdr:rowOff>
                  </from>
                  <to>
                    <xdr:col>10</xdr:col>
                    <xdr:colOff>209550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1" name="perspective4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12</xdr:col>
                    <xdr:colOff>247650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2" name="perspective5">
              <controlPr defaultSize="0" autoFill="0" autoLine="0" autoPict="0">
                <anchor moveWithCells="1">
                  <from>
                    <xdr:col>9</xdr:col>
                    <xdr:colOff>0</xdr:colOff>
                    <xdr:row>2</xdr:row>
                    <xdr:rowOff>19050</xdr:rowOff>
                  </from>
                  <to>
                    <xdr:col>12</xdr:col>
                    <xdr:colOff>247650</xdr:colOff>
                    <xdr:row>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3" name="Update">
              <controlPr defaultSize="0" print="0" autoFill="0" autoPict="0" macro="[0]!sh_subject.Update_Click">
                <anchor moveWithCells="1" sizeWithCells="1">
                  <from>
                    <xdr:col>2</xdr:col>
                    <xdr:colOff>9525</xdr:colOff>
                    <xdr:row>0</xdr:row>
                    <xdr:rowOff>28575</xdr:rowOff>
                  </from>
                  <to>
                    <xdr:col>3</xdr:col>
                    <xdr:colOff>342900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4" name="Ope_result">
              <controlPr defaultSize="0" print="0" autoFill="0" autoPict="0" macro="[0]!sh_subject.Ope_result_Click">
                <anchor moveWithCells="1" sizeWithCells="1">
                  <from>
                    <xdr:col>6</xdr:col>
                    <xdr:colOff>304800</xdr:colOff>
                    <xdr:row>0</xdr:row>
                    <xdr:rowOff>28575</xdr:rowOff>
                  </from>
                  <to>
                    <xdr:col>9</xdr:col>
                    <xdr:colOff>228600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5" name="Delete_Sh_Subject">
              <controlPr defaultSize="0" print="0" autoFill="0" autoPict="0" macro="[0]!sh_subject.Delete_Sh_Subject_Click">
                <anchor moveWithCells="1" sizeWithCells="1">
                  <from>
                    <xdr:col>4</xdr:col>
                    <xdr:colOff>9525</xdr:colOff>
                    <xdr:row>0</xdr:row>
                    <xdr:rowOff>28575</xdr:rowOff>
                  </from>
                  <to>
                    <xdr:col>6</xdr:col>
                    <xdr:colOff>304800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Setting!$B$3:$B$15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  <pageSetUpPr fitToPage="1"/>
  </sheetPr>
  <dimension ref="A1:CC50"/>
  <sheetViews>
    <sheetView tabSelected="1" topLeftCell="A8" zoomScaleNormal="100" workbookViewId="0">
      <pane xSplit="3" ySplit="3" topLeftCell="D11" activePane="bottomRight" state="frozen"/>
      <selection activeCell="A8" sqref="A8"/>
      <selection pane="topRight" activeCell="D8" sqref="D8"/>
      <selection pane="bottomLeft" activeCell="A11" sqref="A11"/>
      <selection pane="bottomRight" activeCell="D11" sqref="D11"/>
    </sheetView>
  </sheetViews>
  <sheetFormatPr defaultColWidth="5" defaultRowHeight="18.75" x14ac:dyDescent="0.4"/>
  <cols>
    <col min="1" max="1" width="10.625" style="184" customWidth="1"/>
    <col min="2" max="3" width="6.625" style="184" customWidth="1"/>
    <col min="4" max="4" width="6.125" style="184" customWidth="1"/>
    <col min="5" max="5" width="5.125" style="184" customWidth="1"/>
    <col min="6" max="6" width="6.125" style="184" customWidth="1"/>
    <col min="7" max="7" width="5.125" style="184" customWidth="1"/>
    <col min="8" max="8" width="6.125" style="184" customWidth="1"/>
    <col min="9" max="9" width="5.125" style="184" customWidth="1"/>
    <col min="10" max="10" width="6.125" style="184" customWidth="1"/>
    <col min="11" max="11" width="5.125" style="184" customWidth="1"/>
    <col min="12" max="12" width="6.125" style="184" customWidth="1"/>
    <col min="13" max="13" width="5.125" style="184" customWidth="1"/>
    <col min="14" max="14" width="6.125" style="184" customWidth="1"/>
    <col min="15" max="15" width="5.125" style="184" customWidth="1"/>
    <col min="16" max="16" width="6.125" style="184" customWidth="1"/>
    <col min="17" max="17" width="5.125" style="184" customWidth="1"/>
    <col min="18" max="18" width="6.125" style="184" customWidth="1"/>
    <col min="19" max="19" width="5.125" style="184" customWidth="1"/>
    <col min="20" max="20" width="6.125" style="184" customWidth="1"/>
    <col min="21" max="21" width="5.125" style="184" customWidth="1"/>
    <col min="22" max="22" width="6.125" style="184" customWidth="1"/>
    <col min="23" max="23" width="5.125" style="184" customWidth="1"/>
    <col min="24" max="24" width="6.125" style="184" customWidth="1"/>
    <col min="25" max="25" width="5.125" style="184" customWidth="1"/>
    <col min="26" max="26" width="6.125" style="184" customWidth="1"/>
    <col min="27" max="27" width="5.125" style="184" customWidth="1"/>
    <col min="28" max="28" width="6.125" style="184" customWidth="1"/>
    <col min="29" max="29" width="5.125" style="184" customWidth="1"/>
    <col min="30" max="30" width="6.125" style="184" customWidth="1"/>
    <col min="31" max="31" width="5.125" style="184" customWidth="1"/>
    <col min="32" max="32" width="6.125" style="184" customWidth="1"/>
    <col min="33" max="33" width="5.125" style="184" customWidth="1"/>
    <col min="34" max="34" width="6.125" style="184" customWidth="1"/>
    <col min="35" max="35" width="5.125" style="184" customWidth="1"/>
    <col min="36" max="36" width="6.125" style="184" customWidth="1"/>
    <col min="37" max="37" width="5.125" style="184" customWidth="1"/>
    <col min="38" max="38" width="6.125" style="184" customWidth="1"/>
    <col min="39" max="39" width="5.125" style="184" customWidth="1"/>
    <col min="40" max="40" width="6.125" style="184" customWidth="1"/>
    <col min="41" max="41" width="5.125" style="184" customWidth="1"/>
    <col min="42" max="42" width="6.125" style="184" customWidth="1"/>
    <col min="43" max="43" width="5.125" style="184" customWidth="1"/>
    <col min="44" max="44" width="6.125" style="184" customWidth="1"/>
    <col min="45" max="45" width="5.125" style="184" customWidth="1"/>
    <col min="46" max="46" width="6.125" style="184" customWidth="1"/>
    <col min="47" max="47" width="5.125" style="184" customWidth="1"/>
    <col min="48" max="48" width="6.125" style="184" customWidth="1"/>
    <col min="49" max="49" width="5.125" style="184" customWidth="1"/>
    <col min="50" max="50" width="6.125" style="184" customWidth="1"/>
    <col min="51" max="51" width="5.125" style="184" customWidth="1"/>
    <col min="52" max="52" width="6.125" style="184" customWidth="1"/>
    <col min="53" max="53" width="5.125" style="184" customWidth="1"/>
    <col min="54" max="54" width="6.125" style="184" customWidth="1"/>
    <col min="55" max="55" width="5.125" style="184" customWidth="1"/>
    <col min="56" max="56" width="6.125" style="184" customWidth="1"/>
    <col min="57" max="57" width="5.125" style="184" customWidth="1"/>
    <col min="58" max="58" width="6.125" style="184" customWidth="1"/>
    <col min="59" max="59" width="5.125" style="184" customWidth="1"/>
    <col min="60" max="60" width="6.125" style="184" customWidth="1"/>
    <col min="61" max="61" width="5.125" style="184" customWidth="1"/>
    <col min="62" max="62" width="6.125" style="184" customWidth="1"/>
    <col min="63" max="63" width="5.125" style="184" customWidth="1"/>
    <col min="64" max="64" width="6.125" style="184" customWidth="1"/>
    <col min="65" max="65" width="5.125" style="184" customWidth="1"/>
    <col min="66" max="66" width="6.125" style="184" customWidth="1"/>
    <col min="67" max="67" width="5.125" style="184" customWidth="1"/>
    <col min="68" max="68" width="6.125" style="184" customWidth="1"/>
    <col min="69" max="69" width="5.125" style="184" customWidth="1"/>
    <col min="70" max="70" width="6.125" style="184" customWidth="1"/>
    <col min="71" max="71" width="5.125" style="184" customWidth="1"/>
    <col min="72" max="72" width="6.125" style="184" customWidth="1"/>
    <col min="73" max="73" width="5.125" style="184" customWidth="1"/>
    <col min="74" max="74" width="6.125" style="184" customWidth="1"/>
    <col min="75" max="75" width="5.125" style="184" customWidth="1"/>
    <col min="76" max="76" width="6.125" style="184" customWidth="1"/>
    <col min="77" max="77" width="5.125" style="184" customWidth="1"/>
    <col min="78" max="78" width="6.125" style="184" customWidth="1"/>
    <col min="79" max="79" width="5.125" style="184" customWidth="1"/>
    <col min="80" max="80" width="6.125" style="184" customWidth="1"/>
    <col min="81" max="16384" width="5" style="184"/>
  </cols>
  <sheetData>
    <row r="1" spans="1:81" hidden="1" x14ac:dyDescent="0.4"/>
    <row r="2" spans="1:81" hidden="1" x14ac:dyDescent="0.4"/>
    <row r="3" spans="1:81" hidden="1" x14ac:dyDescent="0.4"/>
    <row r="4" spans="1:81" hidden="1" x14ac:dyDescent="0.4"/>
    <row r="5" spans="1:81" hidden="1" x14ac:dyDescent="0.4"/>
    <row r="6" spans="1:81" hidden="1" x14ac:dyDescent="0.4"/>
    <row r="7" spans="1:81" hidden="1" x14ac:dyDescent="0.4"/>
    <row r="8" spans="1:81" ht="21.95" customHeight="1" x14ac:dyDescent="0.4">
      <c r="A8" s="241"/>
      <c r="B8" s="243"/>
      <c r="C8" s="245"/>
      <c r="D8" s="159" t="s">
        <v>180</v>
      </c>
      <c r="E8" s="192"/>
      <c r="F8" s="159" t="s">
        <v>180</v>
      </c>
      <c r="G8" s="192"/>
      <c r="H8" s="159" t="s">
        <v>180</v>
      </c>
      <c r="I8" s="192"/>
      <c r="J8" s="159" t="s">
        <v>185</v>
      </c>
      <c r="K8" s="192"/>
      <c r="L8" s="159" t="s">
        <v>185</v>
      </c>
      <c r="M8" s="192"/>
      <c r="N8" s="159" t="s">
        <v>185</v>
      </c>
      <c r="O8" s="192"/>
      <c r="P8" s="159" t="s">
        <v>83</v>
      </c>
      <c r="Q8" s="192"/>
      <c r="R8" s="159" t="s">
        <v>83</v>
      </c>
      <c r="S8" s="192"/>
      <c r="T8" s="159" t="s">
        <v>83</v>
      </c>
      <c r="U8" s="192"/>
      <c r="V8" s="159" t="s">
        <v>188</v>
      </c>
      <c r="W8" s="192"/>
      <c r="X8" s="159" t="s">
        <v>188</v>
      </c>
      <c r="Y8" s="192"/>
      <c r="Z8" s="159" t="s">
        <v>188</v>
      </c>
      <c r="AA8" s="192"/>
      <c r="AB8" s="159" t="s">
        <v>190</v>
      </c>
      <c r="AC8" s="192"/>
      <c r="AD8" s="159" t="s">
        <v>190</v>
      </c>
      <c r="AE8" s="192"/>
      <c r="AF8" s="159" t="s">
        <v>190</v>
      </c>
      <c r="AG8" s="192"/>
      <c r="AH8" s="159" t="s">
        <v>192</v>
      </c>
      <c r="AI8" s="192"/>
      <c r="AJ8" s="159" t="s">
        <v>192</v>
      </c>
      <c r="AK8" s="192"/>
      <c r="AL8" s="159" t="s">
        <v>192</v>
      </c>
      <c r="AM8" s="192"/>
      <c r="AN8" s="159" t="s">
        <v>194</v>
      </c>
      <c r="AO8" s="192"/>
      <c r="AP8" s="159" t="s">
        <v>194</v>
      </c>
      <c r="AQ8" s="192"/>
      <c r="AR8" s="159" t="s">
        <v>194</v>
      </c>
      <c r="AS8" s="192"/>
      <c r="AT8" s="159" t="s">
        <v>196</v>
      </c>
      <c r="AU8" s="192"/>
      <c r="AV8" s="159" t="s">
        <v>196</v>
      </c>
      <c r="AW8" s="192"/>
      <c r="AX8" s="159" t="s">
        <v>196</v>
      </c>
      <c r="AY8" s="192"/>
      <c r="AZ8" s="159" t="s">
        <v>86</v>
      </c>
      <c r="BA8" s="192"/>
      <c r="BB8" s="159" t="s">
        <v>86</v>
      </c>
      <c r="BC8" s="192"/>
      <c r="BD8" s="159" t="s">
        <v>86</v>
      </c>
      <c r="BE8" s="192"/>
      <c r="BF8" s="159" t="s">
        <v>199</v>
      </c>
      <c r="BG8" s="192"/>
      <c r="BH8" s="159" t="s">
        <v>199</v>
      </c>
      <c r="BI8" s="192"/>
      <c r="BJ8" s="159" t="s">
        <v>199</v>
      </c>
      <c r="BK8" s="192"/>
      <c r="BL8" s="159" t="s">
        <v>123</v>
      </c>
      <c r="BM8" s="192"/>
      <c r="BN8" s="159" t="s">
        <v>123</v>
      </c>
      <c r="BO8" s="192"/>
      <c r="BP8" s="159" t="s">
        <v>123</v>
      </c>
      <c r="BQ8" s="192"/>
      <c r="BR8" s="159" t="s">
        <v>202</v>
      </c>
      <c r="BS8" s="192"/>
      <c r="BT8" s="159" t="s">
        <v>202</v>
      </c>
      <c r="BU8" s="192"/>
      <c r="BV8" s="159" t="s">
        <v>202</v>
      </c>
      <c r="BW8" s="192"/>
      <c r="BX8" s="159" t="s">
        <v>204</v>
      </c>
      <c r="BY8" s="192"/>
      <c r="BZ8" s="159" t="s">
        <v>204</v>
      </c>
      <c r="CA8" s="192"/>
      <c r="CB8" s="161" t="s">
        <v>204</v>
      </c>
    </row>
    <row r="9" spans="1:81" s="183" customFormat="1" ht="18" customHeight="1" x14ac:dyDescent="0.4">
      <c r="A9" s="242"/>
      <c r="B9" s="244"/>
      <c r="C9" s="246"/>
      <c r="D9" s="185" t="s">
        <v>181</v>
      </c>
      <c r="E9" s="180"/>
      <c r="F9" s="185" t="s">
        <v>182</v>
      </c>
      <c r="G9" s="180"/>
      <c r="H9" s="185" t="s">
        <v>183</v>
      </c>
      <c r="I9" s="180"/>
      <c r="J9" s="196" t="s">
        <v>181</v>
      </c>
      <c r="K9" s="180"/>
      <c r="L9" s="196" t="s">
        <v>182</v>
      </c>
      <c r="M9" s="180"/>
      <c r="N9" s="196" t="s">
        <v>183</v>
      </c>
      <c r="O9" s="180"/>
      <c r="P9" s="197" t="s">
        <v>181</v>
      </c>
      <c r="Q9" s="180"/>
      <c r="R9" s="197" t="s">
        <v>182</v>
      </c>
      <c r="S9" s="180"/>
      <c r="T9" s="197" t="s">
        <v>183</v>
      </c>
      <c r="U9" s="180"/>
      <c r="V9" s="198" t="s">
        <v>181</v>
      </c>
      <c r="W9" s="180"/>
      <c r="X9" s="198" t="s">
        <v>182</v>
      </c>
      <c r="Y9" s="180"/>
      <c r="Z9" s="198" t="s">
        <v>183</v>
      </c>
      <c r="AA9" s="180"/>
      <c r="AB9" s="199" t="s">
        <v>181</v>
      </c>
      <c r="AC9" s="180"/>
      <c r="AD9" s="199" t="s">
        <v>182</v>
      </c>
      <c r="AE9" s="180"/>
      <c r="AF9" s="199" t="s">
        <v>183</v>
      </c>
      <c r="AG9" s="180"/>
      <c r="AH9" s="200" t="s">
        <v>181</v>
      </c>
      <c r="AI9" s="180"/>
      <c r="AJ9" s="200" t="s">
        <v>182</v>
      </c>
      <c r="AK9" s="180"/>
      <c r="AL9" s="200" t="s">
        <v>183</v>
      </c>
      <c r="AM9" s="225"/>
      <c r="AN9" s="202" t="s">
        <v>181</v>
      </c>
      <c r="AO9" s="225"/>
      <c r="AP9" s="202" t="s">
        <v>182</v>
      </c>
      <c r="AQ9" s="225"/>
      <c r="AR9" s="202" t="s">
        <v>183</v>
      </c>
      <c r="AS9" s="225"/>
      <c r="AT9" s="203" t="s">
        <v>181</v>
      </c>
      <c r="AU9" s="225"/>
      <c r="AV9" s="203" t="s">
        <v>182</v>
      </c>
      <c r="AW9" s="225"/>
      <c r="AX9" s="203" t="s">
        <v>183</v>
      </c>
      <c r="AY9" s="225"/>
      <c r="AZ9" s="204" t="s">
        <v>181</v>
      </c>
      <c r="BA9" s="225"/>
      <c r="BB9" s="204" t="s">
        <v>182</v>
      </c>
      <c r="BC9" s="225"/>
      <c r="BD9" s="204" t="s">
        <v>183</v>
      </c>
      <c r="BE9" s="225"/>
      <c r="BF9" s="205" t="s">
        <v>181</v>
      </c>
      <c r="BG9" s="225"/>
      <c r="BH9" s="205" t="s">
        <v>182</v>
      </c>
      <c r="BI9" s="225"/>
      <c r="BJ9" s="205" t="s">
        <v>183</v>
      </c>
      <c r="BK9" s="225"/>
      <c r="BL9" s="201" t="s">
        <v>181</v>
      </c>
      <c r="BM9" s="225"/>
      <c r="BN9" s="201" t="s">
        <v>182</v>
      </c>
      <c r="BO9" s="225"/>
      <c r="BP9" s="201" t="s">
        <v>183</v>
      </c>
      <c r="BQ9" s="225"/>
      <c r="BR9" s="201" t="s">
        <v>181</v>
      </c>
      <c r="BS9" s="225"/>
      <c r="BT9" s="201" t="s">
        <v>182</v>
      </c>
      <c r="BU9" s="225"/>
      <c r="BV9" s="201" t="s">
        <v>183</v>
      </c>
      <c r="BW9" s="225"/>
      <c r="BX9" s="201" t="s">
        <v>181</v>
      </c>
      <c r="BY9" s="225"/>
      <c r="BZ9" s="201" t="s">
        <v>182</v>
      </c>
      <c r="CA9" s="225"/>
      <c r="CB9" s="207" t="s">
        <v>183</v>
      </c>
    </row>
    <row r="10" spans="1:81" s="183" customFormat="1" ht="15.95" customHeight="1" thickBot="1" x14ac:dyDescent="0.45">
      <c r="A10" s="160" t="s">
        <v>69</v>
      </c>
      <c r="B10" s="187" t="s">
        <v>121</v>
      </c>
      <c r="C10" s="162" t="s">
        <v>122</v>
      </c>
      <c r="D10" s="186" t="s">
        <v>84</v>
      </c>
      <c r="E10" s="181" t="s">
        <v>85</v>
      </c>
      <c r="F10" s="186" t="s">
        <v>84</v>
      </c>
      <c r="G10" s="181" t="s">
        <v>85</v>
      </c>
      <c r="H10" s="186" t="s">
        <v>84</v>
      </c>
      <c r="I10" s="181" t="s">
        <v>85</v>
      </c>
      <c r="J10" s="186" t="s">
        <v>84</v>
      </c>
      <c r="K10" s="181" t="s">
        <v>85</v>
      </c>
      <c r="L10" s="186" t="s">
        <v>84</v>
      </c>
      <c r="M10" s="181" t="s">
        <v>85</v>
      </c>
      <c r="N10" s="186" t="s">
        <v>84</v>
      </c>
      <c r="O10" s="181" t="s">
        <v>85</v>
      </c>
      <c r="P10" s="186" t="s">
        <v>84</v>
      </c>
      <c r="Q10" s="181" t="s">
        <v>85</v>
      </c>
      <c r="R10" s="186" t="s">
        <v>84</v>
      </c>
      <c r="S10" s="181" t="s">
        <v>85</v>
      </c>
      <c r="T10" s="186" t="s">
        <v>84</v>
      </c>
      <c r="U10" s="181" t="s">
        <v>85</v>
      </c>
      <c r="V10" s="186" t="s">
        <v>84</v>
      </c>
      <c r="W10" s="181" t="s">
        <v>85</v>
      </c>
      <c r="X10" s="186" t="s">
        <v>84</v>
      </c>
      <c r="Y10" s="181" t="s">
        <v>85</v>
      </c>
      <c r="Z10" s="186" t="s">
        <v>84</v>
      </c>
      <c r="AA10" s="181" t="s">
        <v>85</v>
      </c>
      <c r="AB10" s="186" t="s">
        <v>84</v>
      </c>
      <c r="AC10" s="181" t="s">
        <v>85</v>
      </c>
      <c r="AD10" s="186" t="s">
        <v>84</v>
      </c>
      <c r="AE10" s="181" t="s">
        <v>85</v>
      </c>
      <c r="AF10" s="186" t="s">
        <v>84</v>
      </c>
      <c r="AG10" s="181" t="s">
        <v>85</v>
      </c>
      <c r="AH10" s="186" t="s">
        <v>84</v>
      </c>
      <c r="AI10" s="181" t="s">
        <v>85</v>
      </c>
      <c r="AJ10" s="186" t="s">
        <v>84</v>
      </c>
      <c r="AK10" s="181" t="s">
        <v>85</v>
      </c>
      <c r="AL10" s="186" t="s">
        <v>84</v>
      </c>
      <c r="AM10" s="226" t="s">
        <v>85</v>
      </c>
      <c r="AN10" s="206" t="s">
        <v>84</v>
      </c>
      <c r="AO10" s="226" t="s">
        <v>85</v>
      </c>
      <c r="AP10" s="206" t="s">
        <v>84</v>
      </c>
      <c r="AQ10" s="226" t="s">
        <v>85</v>
      </c>
      <c r="AR10" s="206" t="s">
        <v>84</v>
      </c>
      <c r="AS10" s="226" t="s">
        <v>85</v>
      </c>
      <c r="AT10" s="206" t="s">
        <v>84</v>
      </c>
      <c r="AU10" s="226" t="s">
        <v>85</v>
      </c>
      <c r="AV10" s="206" t="s">
        <v>84</v>
      </c>
      <c r="AW10" s="226" t="s">
        <v>85</v>
      </c>
      <c r="AX10" s="206" t="s">
        <v>84</v>
      </c>
      <c r="AY10" s="226" t="s">
        <v>85</v>
      </c>
      <c r="AZ10" s="206" t="s">
        <v>84</v>
      </c>
      <c r="BA10" s="226" t="s">
        <v>85</v>
      </c>
      <c r="BB10" s="206" t="s">
        <v>84</v>
      </c>
      <c r="BC10" s="226" t="s">
        <v>85</v>
      </c>
      <c r="BD10" s="206" t="s">
        <v>84</v>
      </c>
      <c r="BE10" s="226" t="s">
        <v>85</v>
      </c>
      <c r="BF10" s="206" t="s">
        <v>84</v>
      </c>
      <c r="BG10" s="226" t="s">
        <v>85</v>
      </c>
      <c r="BH10" s="206" t="s">
        <v>84</v>
      </c>
      <c r="BI10" s="226" t="s">
        <v>85</v>
      </c>
      <c r="BJ10" s="206" t="s">
        <v>84</v>
      </c>
      <c r="BK10" s="226" t="s">
        <v>85</v>
      </c>
      <c r="BL10" s="206" t="s">
        <v>84</v>
      </c>
      <c r="BM10" s="226" t="s">
        <v>85</v>
      </c>
      <c r="BN10" s="206" t="s">
        <v>84</v>
      </c>
      <c r="BO10" s="226" t="s">
        <v>85</v>
      </c>
      <c r="BP10" s="206" t="s">
        <v>84</v>
      </c>
      <c r="BQ10" s="226" t="s">
        <v>85</v>
      </c>
      <c r="BR10" s="206" t="s">
        <v>84</v>
      </c>
      <c r="BS10" s="226" t="s">
        <v>85</v>
      </c>
      <c r="BT10" s="206" t="s">
        <v>84</v>
      </c>
      <c r="BU10" s="226" t="s">
        <v>85</v>
      </c>
      <c r="BV10" s="206" t="s">
        <v>84</v>
      </c>
      <c r="BW10" s="226" t="s">
        <v>85</v>
      </c>
      <c r="BX10" s="206" t="s">
        <v>84</v>
      </c>
      <c r="BY10" s="226" t="s">
        <v>85</v>
      </c>
      <c r="BZ10" s="206" t="s">
        <v>84</v>
      </c>
      <c r="CA10" s="226" t="s">
        <v>85</v>
      </c>
      <c r="CB10" s="208" t="s">
        <v>84</v>
      </c>
      <c r="CC10" s="183" t="s">
        <v>85</v>
      </c>
    </row>
    <row r="11" spans="1:81" ht="18" customHeight="1" x14ac:dyDescent="0.4">
      <c r="A11" s="163" t="str">
        <f>名簿!B11&amp;""</f>
        <v>10010001</v>
      </c>
      <c r="B11" s="164" t="str">
        <f>名簿!C11&amp;""</f>
        <v>田中</v>
      </c>
      <c r="C11" s="165" t="str">
        <f>名簿!D11&amp;""</f>
        <v>雄介</v>
      </c>
      <c r="D11" s="188"/>
      <c r="E11" s="193"/>
      <c r="F11" s="188"/>
      <c r="G11" s="193"/>
      <c r="H11" s="188"/>
      <c r="I11" s="193"/>
      <c r="J11" s="188"/>
      <c r="K11" s="193"/>
      <c r="L11" s="188"/>
      <c r="M11" s="193"/>
      <c r="N11" s="188"/>
      <c r="O11" s="193"/>
      <c r="P11" s="188"/>
      <c r="Q11" s="193"/>
      <c r="R11" s="188">
        <v>85</v>
      </c>
      <c r="S11" s="193" t="s">
        <v>251</v>
      </c>
      <c r="T11" s="188"/>
      <c r="U11" s="193"/>
      <c r="V11" s="188"/>
      <c r="W11" s="193"/>
      <c r="X11" s="188"/>
      <c r="Y11" s="193"/>
      <c r="Z11" s="188"/>
      <c r="AA11" s="193"/>
      <c r="AB11" s="188">
        <v>88</v>
      </c>
      <c r="AC11" s="193" t="s">
        <v>249</v>
      </c>
      <c r="AD11" s="188"/>
      <c r="AE11" s="193"/>
      <c r="AF11" s="188"/>
      <c r="AG11" s="193"/>
      <c r="AH11" s="188"/>
      <c r="AI11" s="193"/>
      <c r="AJ11" s="188"/>
      <c r="AK11" s="193"/>
      <c r="AL11" s="188"/>
      <c r="AM11" s="193"/>
      <c r="AN11" s="188"/>
      <c r="AO11" s="193"/>
      <c r="AP11" s="188"/>
      <c r="AQ11" s="193"/>
      <c r="AR11" s="188"/>
      <c r="AS11" s="193"/>
      <c r="AT11" s="188"/>
      <c r="AU11" s="193"/>
      <c r="AV11" s="188"/>
      <c r="AW11" s="193"/>
      <c r="AX11" s="188"/>
      <c r="AY11" s="193"/>
      <c r="AZ11" s="188"/>
      <c r="BA11" s="193"/>
      <c r="BB11" s="188"/>
      <c r="BC11" s="193"/>
      <c r="BD11" s="188"/>
      <c r="BE11" s="193"/>
      <c r="BF11" s="188"/>
      <c r="BG11" s="193"/>
      <c r="BH11" s="188"/>
      <c r="BI11" s="193"/>
      <c r="BJ11" s="188"/>
      <c r="BK11" s="193"/>
      <c r="BL11" s="188"/>
      <c r="BM11" s="193"/>
      <c r="BN11" s="188"/>
      <c r="BO11" s="193"/>
      <c r="BP11" s="188"/>
      <c r="BQ11" s="193"/>
      <c r="BR11" s="188"/>
      <c r="BS11" s="193"/>
      <c r="BT11" s="188"/>
      <c r="BU11" s="193"/>
      <c r="BV11" s="188"/>
      <c r="BW11" s="193"/>
      <c r="BX11" s="188"/>
      <c r="BY11" s="193"/>
      <c r="BZ11" s="188"/>
      <c r="CA11" s="193"/>
      <c r="CB11" s="189"/>
    </row>
    <row r="12" spans="1:81" ht="18" customHeight="1" x14ac:dyDescent="0.4">
      <c r="A12" s="166" t="str">
        <f>名簿!B12&amp;""</f>
        <v>10010002</v>
      </c>
      <c r="B12" s="167" t="str">
        <f>名簿!C12&amp;""</f>
        <v>佐藤</v>
      </c>
      <c r="C12" s="168" t="str">
        <f>名簿!D12&amp;""</f>
        <v>凛</v>
      </c>
      <c r="D12" s="174"/>
      <c r="E12" s="194"/>
      <c r="F12" s="174"/>
      <c r="G12" s="194"/>
      <c r="H12" s="174"/>
      <c r="I12" s="194"/>
      <c r="J12" s="175"/>
      <c r="K12" s="194"/>
      <c r="L12" s="175"/>
      <c r="M12" s="194"/>
      <c r="N12" s="175"/>
      <c r="O12" s="194"/>
      <c r="P12" s="176"/>
      <c r="Q12" s="194"/>
      <c r="R12" s="176">
        <v>74</v>
      </c>
      <c r="S12" s="194" t="s">
        <v>251</v>
      </c>
      <c r="T12" s="176"/>
      <c r="U12" s="194"/>
      <c r="V12" s="209"/>
      <c r="W12" s="194"/>
      <c r="X12" s="209"/>
      <c r="Y12" s="194"/>
      <c r="Z12" s="209"/>
      <c r="AA12" s="194"/>
      <c r="AB12" s="210">
        <v>81.5</v>
      </c>
      <c r="AC12" s="194" t="s">
        <v>249</v>
      </c>
      <c r="AD12" s="210"/>
      <c r="AE12" s="194"/>
      <c r="AF12" s="210"/>
      <c r="AG12" s="194"/>
      <c r="AH12" s="211"/>
      <c r="AI12" s="194"/>
      <c r="AJ12" s="211"/>
      <c r="AK12" s="194"/>
      <c r="AL12" s="211"/>
      <c r="AM12" s="194"/>
      <c r="AN12" s="212"/>
      <c r="AO12" s="194"/>
      <c r="AP12" s="212"/>
      <c r="AQ12" s="194"/>
      <c r="AR12" s="212"/>
      <c r="AS12" s="194"/>
      <c r="AT12" s="213"/>
      <c r="AU12" s="194"/>
      <c r="AV12" s="213"/>
      <c r="AW12" s="194"/>
      <c r="AX12" s="213"/>
      <c r="AY12" s="194"/>
      <c r="AZ12" s="214"/>
      <c r="BA12" s="194"/>
      <c r="BB12" s="214"/>
      <c r="BC12" s="194"/>
      <c r="BD12" s="214"/>
      <c r="BE12" s="194"/>
      <c r="BF12" s="215"/>
      <c r="BG12" s="194"/>
      <c r="BH12" s="215"/>
      <c r="BI12" s="194"/>
      <c r="BJ12" s="215"/>
      <c r="BK12" s="194"/>
      <c r="BL12" s="190"/>
      <c r="BM12" s="194"/>
      <c r="BN12" s="190"/>
      <c r="BO12" s="194"/>
      <c r="BP12" s="190"/>
      <c r="BQ12" s="194"/>
      <c r="BR12" s="190"/>
      <c r="BS12" s="194"/>
      <c r="BT12" s="190"/>
      <c r="BU12" s="194"/>
      <c r="BV12" s="190"/>
      <c r="BW12" s="194"/>
      <c r="BX12" s="190"/>
      <c r="BY12" s="194"/>
      <c r="BZ12" s="190"/>
      <c r="CA12" s="194"/>
      <c r="CB12" s="191"/>
    </row>
    <row r="13" spans="1:81" ht="18" customHeight="1" x14ac:dyDescent="0.4">
      <c r="A13" s="166" t="str">
        <f>名簿!B13&amp;""</f>
        <v>10010003</v>
      </c>
      <c r="B13" s="167" t="str">
        <f>名簿!C13&amp;""</f>
        <v>鈴木</v>
      </c>
      <c r="C13" s="168" t="str">
        <f>名簿!D13&amp;""</f>
        <v>誠</v>
      </c>
      <c r="D13" s="190"/>
      <c r="E13" s="194"/>
      <c r="F13" s="190"/>
      <c r="G13" s="194"/>
      <c r="H13" s="190"/>
      <c r="I13" s="194"/>
      <c r="J13" s="190"/>
      <c r="K13" s="194"/>
      <c r="L13" s="190"/>
      <c r="M13" s="194"/>
      <c r="N13" s="190"/>
      <c r="O13" s="194"/>
      <c r="P13" s="190"/>
      <c r="Q13" s="194"/>
      <c r="R13" s="190">
        <v>96</v>
      </c>
      <c r="S13" s="194" t="s">
        <v>252</v>
      </c>
      <c r="T13" s="190"/>
      <c r="U13" s="194"/>
      <c r="V13" s="190"/>
      <c r="W13" s="194"/>
      <c r="X13" s="190"/>
      <c r="Y13" s="194"/>
      <c r="Z13" s="190"/>
      <c r="AA13" s="194"/>
      <c r="AB13" s="190">
        <v>83</v>
      </c>
      <c r="AC13" s="194" t="s">
        <v>249</v>
      </c>
      <c r="AD13" s="190"/>
      <c r="AE13" s="194"/>
      <c r="AF13" s="190"/>
      <c r="AG13" s="194"/>
      <c r="AH13" s="190"/>
      <c r="AI13" s="194"/>
      <c r="AJ13" s="190"/>
      <c r="AK13" s="194"/>
      <c r="AL13" s="190"/>
      <c r="AM13" s="194"/>
      <c r="AN13" s="190"/>
      <c r="AO13" s="194"/>
      <c r="AP13" s="190"/>
      <c r="AQ13" s="194"/>
      <c r="AR13" s="190"/>
      <c r="AS13" s="194"/>
      <c r="AT13" s="190"/>
      <c r="AU13" s="194"/>
      <c r="AV13" s="190"/>
      <c r="AW13" s="194"/>
      <c r="AX13" s="190"/>
      <c r="AY13" s="194"/>
      <c r="AZ13" s="190"/>
      <c r="BA13" s="194"/>
      <c r="BB13" s="190"/>
      <c r="BC13" s="194"/>
      <c r="BD13" s="190"/>
      <c r="BE13" s="194"/>
      <c r="BF13" s="190"/>
      <c r="BG13" s="194"/>
      <c r="BH13" s="190"/>
      <c r="BI13" s="194"/>
      <c r="BJ13" s="190"/>
      <c r="BK13" s="194"/>
      <c r="BL13" s="190"/>
      <c r="BM13" s="194"/>
      <c r="BN13" s="190"/>
      <c r="BO13" s="194"/>
      <c r="BP13" s="190"/>
      <c r="BQ13" s="194"/>
      <c r="BR13" s="190"/>
      <c r="BS13" s="194"/>
      <c r="BT13" s="190"/>
      <c r="BU13" s="194"/>
      <c r="BV13" s="190"/>
      <c r="BW13" s="194"/>
      <c r="BX13" s="190"/>
      <c r="BY13" s="194"/>
      <c r="BZ13" s="190"/>
      <c r="CA13" s="194"/>
      <c r="CB13" s="191"/>
    </row>
    <row r="14" spans="1:81" ht="18" customHeight="1" x14ac:dyDescent="0.4">
      <c r="A14" s="166" t="str">
        <f>名簿!B14&amp;""</f>
        <v>10010004</v>
      </c>
      <c r="B14" s="167" t="str">
        <f>名簿!C14&amp;""</f>
        <v>高橋</v>
      </c>
      <c r="C14" s="168" t="str">
        <f>名簿!D14&amp;""</f>
        <v>美優</v>
      </c>
      <c r="D14" s="174"/>
      <c r="E14" s="194"/>
      <c r="F14" s="174"/>
      <c r="G14" s="194"/>
      <c r="H14" s="174"/>
      <c r="I14" s="194"/>
      <c r="J14" s="175"/>
      <c r="K14" s="194"/>
      <c r="L14" s="175"/>
      <c r="M14" s="194"/>
      <c r="N14" s="175"/>
      <c r="O14" s="194"/>
      <c r="P14" s="176"/>
      <c r="Q14" s="194"/>
      <c r="R14" s="176">
        <v>7</v>
      </c>
      <c r="S14" s="194" t="s">
        <v>253</v>
      </c>
      <c r="T14" s="176"/>
      <c r="U14" s="194"/>
      <c r="V14" s="209"/>
      <c r="W14" s="194"/>
      <c r="X14" s="209"/>
      <c r="Y14" s="194"/>
      <c r="Z14" s="209"/>
      <c r="AA14" s="194"/>
      <c r="AB14" s="210">
        <v>85</v>
      </c>
      <c r="AC14" s="194" t="s">
        <v>249</v>
      </c>
      <c r="AD14" s="210"/>
      <c r="AE14" s="194"/>
      <c r="AF14" s="210"/>
      <c r="AG14" s="194"/>
      <c r="AH14" s="211"/>
      <c r="AI14" s="194"/>
      <c r="AJ14" s="211"/>
      <c r="AK14" s="194"/>
      <c r="AL14" s="211"/>
      <c r="AM14" s="194"/>
      <c r="AN14" s="212"/>
      <c r="AO14" s="194"/>
      <c r="AP14" s="212"/>
      <c r="AQ14" s="194"/>
      <c r="AR14" s="212"/>
      <c r="AS14" s="194"/>
      <c r="AT14" s="213"/>
      <c r="AU14" s="194"/>
      <c r="AV14" s="213"/>
      <c r="AW14" s="194"/>
      <c r="AX14" s="213"/>
      <c r="AY14" s="194"/>
      <c r="AZ14" s="214"/>
      <c r="BA14" s="194"/>
      <c r="BB14" s="214"/>
      <c r="BC14" s="194"/>
      <c r="BD14" s="214"/>
      <c r="BE14" s="194"/>
      <c r="BF14" s="215"/>
      <c r="BG14" s="194"/>
      <c r="BH14" s="215"/>
      <c r="BI14" s="194"/>
      <c r="BJ14" s="215"/>
      <c r="BK14" s="194"/>
      <c r="BL14" s="190"/>
      <c r="BM14" s="194"/>
      <c r="BN14" s="190"/>
      <c r="BO14" s="194"/>
      <c r="BP14" s="190"/>
      <c r="BQ14" s="194"/>
      <c r="BR14" s="190"/>
      <c r="BS14" s="194"/>
      <c r="BT14" s="190"/>
      <c r="BU14" s="194"/>
      <c r="BV14" s="190"/>
      <c r="BW14" s="194"/>
      <c r="BX14" s="190"/>
      <c r="BY14" s="194"/>
      <c r="BZ14" s="190"/>
      <c r="CA14" s="194"/>
      <c r="CB14" s="191"/>
    </row>
    <row r="15" spans="1:81" ht="18" customHeight="1" x14ac:dyDescent="0.4">
      <c r="A15" s="166" t="str">
        <f>名簿!B15&amp;""</f>
        <v>10010005</v>
      </c>
      <c r="B15" s="167" t="str">
        <f>名簿!C15&amp;""</f>
        <v>渡辺</v>
      </c>
      <c r="C15" s="168" t="str">
        <f>名簿!D15&amp;""</f>
        <v>誠</v>
      </c>
      <c r="D15" s="190"/>
      <c r="E15" s="194"/>
      <c r="F15" s="190"/>
      <c r="G15" s="194"/>
      <c r="H15" s="190"/>
      <c r="I15" s="194"/>
      <c r="J15" s="190"/>
      <c r="K15" s="194"/>
      <c r="L15" s="190"/>
      <c r="M15" s="194"/>
      <c r="N15" s="190"/>
      <c r="O15" s="194"/>
      <c r="P15" s="190"/>
      <c r="Q15" s="194"/>
      <c r="R15" s="190">
        <v>98</v>
      </c>
      <c r="S15" s="194" t="s">
        <v>252</v>
      </c>
      <c r="T15" s="190"/>
      <c r="U15" s="194"/>
      <c r="V15" s="190"/>
      <c r="W15" s="194"/>
      <c r="X15" s="190"/>
      <c r="Y15" s="194"/>
      <c r="Z15" s="190"/>
      <c r="AA15" s="194"/>
      <c r="AB15" s="190">
        <v>88</v>
      </c>
      <c r="AC15" s="194" t="s">
        <v>249</v>
      </c>
      <c r="AD15" s="190"/>
      <c r="AE15" s="194"/>
      <c r="AF15" s="190"/>
      <c r="AG15" s="194"/>
      <c r="AH15" s="190"/>
      <c r="AI15" s="194"/>
      <c r="AJ15" s="190"/>
      <c r="AK15" s="194"/>
      <c r="AL15" s="190"/>
      <c r="AM15" s="194"/>
      <c r="AN15" s="190"/>
      <c r="AO15" s="194"/>
      <c r="AP15" s="190"/>
      <c r="AQ15" s="194"/>
      <c r="AR15" s="190"/>
      <c r="AS15" s="194"/>
      <c r="AT15" s="190"/>
      <c r="AU15" s="194"/>
      <c r="AV15" s="190"/>
      <c r="AW15" s="194"/>
      <c r="AX15" s="190"/>
      <c r="AY15" s="194"/>
      <c r="AZ15" s="190"/>
      <c r="BA15" s="194"/>
      <c r="BB15" s="190"/>
      <c r="BC15" s="194"/>
      <c r="BD15" s="190"/>
      <c r="BE15" s="194"/>
      <c r="BF15" s="190"/>
      <c r="BG15" s="194"/>
      <c r="BH15" s="190"/>
      <c r="BI15" s="194"/>
      <c r="BJ15" s="190"/>
      <c r="BK15" s="194"/>
      <c r="BL15" s="190"/>
      <c r="BM15" s="194"/>
      <c r="BN15" s="190"/>
      <c r="BO15" s="194"/>
      <c r="BP15" s="190"/>
      <c r="BQ15" s="194"/>
      <c r="BR15" s="190"/>
      <c r="BS15" s="194"/>
      <c r="BT15" s="190"/>
      <c r="BU15" s="194"/>
      <c r="BV15" s="190"/>
      <c r="BW15" s="194"/>
      <c r="BX15" s="190"/>
      <c r="BY15" s="194"/>
      <c r="BZ15" s="190"/>
      <c r="CA15" s="194"/>
      <c r="CB15" s="191"/>
    </row>
    <row r="16" spans="1:81" ht="18" customHeight="1" x14ac:dyDescent="0.4">
      <c r="A16" s="166" t="str">
        <f>名簿!B16&amp;""</f>
        <v>10010006</v>
      </c>
      <c r="B16" s="167" t="str">
        <f>名簿!C16&amp;""</f>
        <v>伊藤</v>
      </c>
      <c r="C16" s="168" t="str">
        <f>名簿!D16&amp;""</f>
        <v>凛</v>
      </c>
      <c r="D16" s="174"/>
      <c r="E16" s="194"/>
      <c r="F16" s="174"/>
      <c r="G16" s="194"/>
      <c r="H16" s="174"/>
      <c r="I16" s="194"/>
      <c r="J16" s="175"/>
      <c r="K16" s="194"/>
      <c r="L16" s="175"/>
      <c r="M16" s="194"/>
      <c r="N16" s="175"/>
      <c r="O16" s="194"/>
      <c r="P16" s="176"/>
      <c r="Q16" s="194"/>
      <c r="R16" s="176">
        <v>64</v>
      </c>
      <c r="S16" s="194" t="s">
        <v>253</v>
      </c>
      <c r="T16" s="176"/>
      <c r="U16" s="194"/>
      <c r="V16" s="209"/>
      <c r="W16" s="194"/>
      <c r="X16" s="209"/>
      <c r="Y16" s="194"/>
      <c r="Z16" s="209"/>
      <c r="AA16" s="194"/>
      <c r="AB16" s="210">
        <v>88.5</v>
      </c>
      <c r="AC16" s="194" t="s">
        <v>249</v>
      </c>
      <c r="AD16" s="210"/>
      <c r="AE16" s="194"/>
      <c r="AF16" s="210"/>
      <c r="AG16" s="194"/>
      <c r="AH16" s="211"/>
      <c r="AI16" s="194"/>
      <c r="AJ16" s="211"/>
      <c r="AK16" s="194"/>
      <c r="AL16" s="211"/>
      <c r="AM16" s="194"/>
      <c r="AN16" s="212"/>
      <c r="AO16" s="194"/>
      <c r="AP16" s="212"/>
      <c r="AQ16" s="194"/>
      <c r="AR16" s="212"/>
      <c r="AS16" s="194"/>
      <c r="AT16" s="213"/>
      <c r="AU16" s="194"/>
      <c r="AV16" s="213"/>
      <c r="AW16" s="194"/>
      <c r="AX16" s="213"/>
      <c r="AY16" s="194"/>
      <c r="AZ16" s="214"/>
      <c r="BA16" s="194"/>
      <c r="BB16" s="214"/>
      <c r="BC16" s="194"/>
      <c r="BD16" s="214"/>
      <c r="BE16" s="194"/>
      <c r="BF16" s="215"/>
      <c r="BG16" s="194"/>
      <c r="BH16" s="215"/>
      <c r="BI16" s="194"/>
      <c r="BJ16" s="215"/>
      <c r="BK16" s="194"/>
      <c r="BL16" s="190"/>
      <c r="BM16" s="194"/>
      <c r="BN16" s="190"/>
      <c r="BO16" s="194"/>
      <c r="BP16" s="190"/>
      <c r="BQ16" s="194"/>
      <c r="BR16" s="190"/>
      <c r="BS16" s="194"/>
      <c r="BT16" s="190"/>
      <c r="BU16" s="194"/>
      <c r="BV16" s="190"/>
      <c r="BW16" s="194"/>
      <c r="BX16" s="190"/>
      <c r="BY16" s="194"/>
      <c r="BZ16" s="190"/>
      <c r="CA16" s="194"/>
      <c r="CB16" s="191"/>
    </row>
    <row r="17" spans="1:80" ht="18" customHeight="1" x14ac:dyDescent="0.4">
      <c r="A17" s="166" t="str">
        <f>名簿!B17&amp;""</f>
        <v>10010007</v>
      </c>
      <c r="B17" s="167" t="str">
        <f>名簿!C17&amp;""</f>
        <v>山本</v>
      </c>
      <c r="C17" s="168" t="str">
        <f>名簿!D17&amp;""</f>
        <v>太郎</v>
      </c>
      <c r="D17" s="190"/>
      <c r="E17" s="194"/>
      <c r="F17" s="190"/>
      <c r="G17" s="194"/>
      <c r="H17" s="190"/>
      <c r="I17" s="194"/>
      <c r="J17" s="190"/>
      <c r="K17" s="194"/>
      <c r="L17" s="190"/>
      <c r="M17" s="194"/>
      <c r="N17" s="190"/>
      <c r="O17" s="194"/>
      <c r="P17" s="190"/>
      <c r="Q17" s="194"/>
      <c r="R17" s="190">
        <v>85</v>
      </c>
      <c r="S17" s="194" t="s">
        <v>251</v>
      </c>
      <c r="T17" s="190"/>
      <c r="U17" s="194"/>
      <c r="V17" s="190"/>
      <c r="W17" s="194"/>
      <c r="X17" s="190"/>
      <c r="Y17" s="194"/>
      <c r="Z17" s="190"/>
      <c r="AA17" s="194"/>
      <c r="AB17" s="190">
        <v>87</v>
      </c>
      <c r="AC17" s="194" t="s">
        <v>249</v>
      </c>
      <c r="AD17" s="190"/>
      <c r="AE17" s="194"/>
      <c r="AF17" s="190"/>
      <c r="AG17" s="194"/>
      <c r="AH17" s="190"/>
      <c r="AI17" s="194"/>
      <c r="AJ17" s="190"/>
      <c r="AK17" s="194"/>
      <c r="AL17" s="190"/>
      <c r="AM17" s="194"/>
      <c r="AN17" s="190"/>
      <c r="AO17" s="194"/>
      <c r="AP17" s="190"/>
      <c r="AQ17" s="194"/>
      <c r="AR17" s="190"/>
      <c r="AS17" s="194"/>
      <c r="AT17" s="190"/>
      <c r="AU17" s="194"/>
      <c r="AV17" s="190"/>
      <c r="AW17" s="194"/>
      <c r="AX17" s="190"/>
      <c r="AY17" s="194"/>
      <c r="AZ17" s="190"/>
      <c r="BA17" s="194"/>
      <c r="BB17" s="190"/>
      <c r="BC17" s="194"/>
      <c r="BD17" s="190"/>
      <c r="BE17" s="194"/>
      <c r="BF17" s="190"/>
      <c r="BG17" s="194"/>
      <c r="BH17" s="190"/>
      <c r="BI17" s="194"/>
      <c r="BJ17" s="190"/>
      <c r="BK17" s="194"/>
      <c r="BL17" s="190"/>
      <c r="BM17" s="194"/>
      <c r="BN17" s="190"/>
      <c r="BO17" s="194"/>
      <c r="BP17" s="190"/>
      <c r="BQ17" s="194"/>
      <c r="BR17" s="190"/>
      <c r="BS17" s="194"/>
      <c r="BT17" s="190"/>
      <c r="BU17" s="194"/>
      <c r="BV17" s="190"/>
      <c r="BW17" s="194"/>
      <c r="BX17" s="190"/>
      <c r="BY17" s="194"/>
      <c r="BZ17" s="190"/>
      <c r="CA17" s="194"/>
      <c r="CB17" s="191"/>
    </row>
    <row r="18" spans="1:80" ht="18" customHeight="1" x14ac:dyDescent="0.4">
      <c r="A18" s="166" t="str">
        <f>名簿!B18&amp;""</f>
        <v>10010008</v>
      </c>
      <c r="B18" s="167" t="str">
        <f>名簿!C18&amp;""</f>
        <v>中村</v>
      </c>
      <c r="C18" s="168" t="str">
        <f>名簿!D18&amp;""</f>
        <v>真央</v>
      </c>
      <c r="D18" s="174"/>
      <c r="E18" s="194"/>
      <c r="F18" s="174"/>
      <c r="G18" s="194"/>
      <c r="H18" s="174"/>
      <c r="I18" s="194"/>
      <c r="J18" s="175"/>
      <c r="K18" s="194"/>
      <c r="L18" s="175"/>
      <c r="M18" s="194"/>
      <c r="N18" s="175"/>
      <c r="O18" s="194"/>
      <c r="P18" s="176"/>
      <c r="Q18" s="194"/>
      <c r="R18" s="176">
        <v>89</v>
      </c>
      <c r="S18" s="194" t="s">
        <v>251</v>
      </c>
      <c r="T18" s="176"/>
      <c r="U18" s="194"/>
      <c r="V18" s="209"/>
      <c r="W18" s="194"/>
      <c r="X18" s="209"/>
      <c r="Y18" s="194"/>
      <c r="Z18" s="209"/>
      <c r="AA18" s="194"/>
      <c r="AB18" s="210">
        <v>86.5</v>
      </c>
      <c r="AC18" s="194" t="s">
        <v>249</v>
      </c>
      <c r="AD18" s="210"/>
      <c r="AE18" s="194"/>
      <c r="AF18" s="210"/>
      <c r="AG18" s="194"/>
      <c r="AH18" s="211"/>
      <c r="AI18" s="194"/>
      <c r="AJ18" s="211"/>
      <c r="AK18" s="194"/>
      <c r="AL18" s="211"/>
      <c r="AM18" s="194"/>
      <c r="AN18" s="212"/>
      <c r="AO18" s="194"/>
      <c r="AP18" s="212"/>
      <c r="AQ18" s="194"/>
      <c r="AR18" s="212"/>
      <c r="AS18" s="194"/>
      <c r="AT18" s="213"/>
      <c r="AU18" s="194"/>
      <c r="AV18" s="213"/>
      <c r="AW18" s="194"/>
      <c r="AX18" s="213"/>
      <c r="AY18" s="194"/>
      <c r="AZ18" s="214"/>
      <c r="BA18" s="194"/>
      <c r="BB18" s="214"/>
      <c r="BC18" s="194"/>
      <c r="BD18" s="214"/>
      <c r="BE18" s="194"/>
      <c r="BF18" s="215"/>
      <c r="BG18" s="194"/>
      <c r="BH18" s="215"/>
      <c r="BI18" s="194"/>
      <c r="BJ18" s="215"/>
      <c r="BK18" s="194"/>
      <c r="BL18" s="190"/>
      <c r="BM18" s="194"/>
      <c r="BN18" s="190"/>
      <c r="BO18" s="194"/>
      <c r="BP18" s="190"/>
      <c r="BQ18" s="194"/>
      <c r="BR18" s="190"/>
      <c r="BS18" s="194"/>
      <c r="BT18" s="190"/>
      <c r="BU18" s="194"/>
      <c r="BV18" s="190"/>
      <c r="BW18" s="194"/>
      <c r="BX18" s="190"/>
      <c r="BY18" s="194"/>
      <c r="BZ18" s="190"/>
      <c r="CA18" s="194"/>
      <c r="CB18" s="191"/>
    </row>
    <row r="19" spans="1:80" ht="18" customHeight="1" x14ac:dyDescent="0.4">
      <c r="A19" s="166" t="str">
        <f>名簿!B19&amp;""</f>
        <v>10010009</v>
      </c>
      <c r="B19" s="167" t="str">
        <f>名簿!C19&amp;""</f>
        <v>小林</v>
      </c>
      <c r="C19" s="168" t="str">
        <f>名簿!D19&amp;""</f>
        <v>浩</v>
      </c>
      <c r="D19" s="190"/>
      <c r="E19" s="194"/>
      <c r="F19" s="190"/>
      <c r="G19" s="194"/>
      <c r="H19" s="190"/>
      <c r="I19" s="194"/>
      <c r="J19" s="190"/>
      <c r="K19" s="194"/>
      <c r="L19" s="190"/>
      <c r="M19" s="194"/>
      <c r="N19" s="190"/>
      <c r="O19" s="194"/>
      <c r="P19" s="190"/>
      <c r="Q19" s="194"/>
      <c r="R19" s="190">
        <v>46</v>
      </c>
      <c r="S19" s="194" t="s">
        <v>253</v>
      </c>
      <c r="T19" s="190"/>
      <c r="U19" s="194"/>
      <c r="V19" s="190"/>
      <c r="W19" s="194"/>
      <c r="X19" s="190"/>
      <c r="Y19" s="194"/>
      <c r="Z19" s="190"/>
      <c r="AA19" s="194"/>
      <c r="AB19" s="190">
        <v>35.5</v>
      </c>
      <c r="AC19" s="194" t="s">
        <v>250</v>
      </c>
      <c r="AD19" s="190"/>
      <c r="AE19" s="194"/>
      <c r="AF19" s="190"/>
      <c r="AG19" s="194"/>
      <c r="AH19" s="190"/>
      <c r="AI19" s="194"/>
      <c r="AJ19" s="190"/>
      <c r="AK19" s="194"/>
      <c r="AL19" s="190"/>
      <c r="AM19" s="194"/>
      <c r="AN19" s="190"/>
      <c r="AO19" s="194"/>
      <c r="AP19" s="190"/>
      <c r="AQ19" s="194"/>
      <c r="AR19" s="190"/>
      <c r="AS19" s="194"/>
      <c r="AT19" s="190"/>
      <c r="AU19" s="194"/>
      <c r="AV19" s="190"/>
      <c r="AW19" s="194"/>
      <c r="AX19" s="190"/>
      <c r="AY19" s="194"/>
      <c r="AZ19" s="190"/>
      <c r="BA19" s="194"/>
      <c r="BB19" s="190"/>
      <c r="BC19" s="194"/>
      <c r="BD19" s="190"/>
      <c r="BE19" s="194"/>
      <c r="BF19" s="190"/>
      <c r="BG19" s="194"/>
      <c r="BH19" s="190"/>
      <c r="BI19" s="194"/>
      <c r="BJ19" s="190"/>
      <c r="BK19" s="194"/>
      <c r="BL19" s="190"/>
      <c r="BM19" s="194"/>
      <c r="BN19" s="190"/>
      <c r="BO19" s="194"/>
      <c r="BP19" s="190"/>
      <c r="BQ19" s="194"/>
      <c r="BR19" s="190"/>
      <c r="BS19" s="194"/>
      <c r="BT19" s="190"/>
      <c r="BU19" s="194"/>
      <c r="BV19" s="190"/>
      <c r="BW19" s="194"/>
      <c r="BX19" s="190"/>
      <c r="BY19" s="194"/>
      <c r="BZ19" s="190"/>
      <c r="CA19" s="194"/>
      <c r="CB19" s="191"/>
    </row>
    <row r="20" spans="1:80" ht="18" customHeight="1" x14ac:dyDescent="0.4">
      <c r="A20" s="166" t="str">
        <f>名簿!B20&amp;""</f>
        <v>10010010</v>
      </c>
      <c r="B20" s="167" t="str">
        <f>名簿!C20&amp;""</f>
        <v>加藤</v>
      </c>
      <c r="C20" s="168" t="str">
        <f>名簿!D20&amp;""</f>
        <v>さくら</v>
      </c>
      <c r="D20" s="174"/>
      <c r="E20" s="194"/>
      <c r="F20" s="174"/>
      <c r="G20" s="194"/>
      <c r="H20" s="174"/>
      <c r="I20" s="194"/>
      <c r="J20" s="175"/>
      <c r="K20" s="194"/>
      <c r="L20" s="175"/>
      <c r="M20" s="194"/>
      <c r="N20" s="175"/>
      <c r="O20" s="194"/>
      <c r="P20" s="176"/>
      <c r="Q20" s="194"/>
      <c r="R20" s="176">
        <v>85</v>
      </c>
      <c r="S20" s="194" t="s">
        <v>251</v>
      </c>
      <c r="T20" s="176"/>
      <c r="U20" s="194"/>
      <c r="V20" s="209"/>
      <c r="W20" s="194"/>
      <c r="X20" s="209"/>
      <c r="Y20" s="194"/>
      <c r="Z20" s="209"/>
      <c r="AA20" s="194"/>
      <c r="AB20" s="210">
        <v>46</v>
      </c>
      <c r="AC20" s="194" t="s">
        <v>250</v>
      </c>
      <c r="AD20" s="210"/>
      <c r="AE20" s="194"/>
      <c r="AF20" s="210"/>
      <c r="AG20" s="194"/>
      <c r="AH20" s="211"/>
      <c r="AI20" s="194"/>
      <c r="AJ20" s="211"/>
      <c r="AK20" s="194"/>
      <c r="AL20" s="211"/>
      <c r="AM20" s="194"/>
      <c r="AN20" s="212"/>
      <c r="AO20" s="194"/>
      <c r="AP20" s="212"/>
      <c r="AQ20" s="194"/>
      <c r="AR20" s="212"/>
      <c r="AS20" s="194"/>
      <c r="AT20" s="213"/>
      <c r="AU20" s="194"/>
      <c r="AV20" s="213"/>
      <c r="AW20" s="194"/>
      <c r="AX20" s="213"/>
      <c r="AY20" s="194"/>
      <c r="AZ20" s="214"/>
      <c r="BA20" s="194"/>
      <c r="BB20" s="214"/>
      <c r="BC20" s="194"/>
      <c r="BD20" s="214"/>
      <c r="BE20" s="194"/>
      <c r="BF20" s="215"/>
      <c r="BG20" s="194"/>
      <c r="BH20" s="215"/>
      <c r="BI20" s="194"/>
      <c r="BJ20" s="215"/>
      <c r="BK20" s="194"/>
      <c r="BL20" s="190"/>
      <c r="BM20" s="194"/>
      <c r="BN20" s="190"/>
      <c r="BO20" s="194"/>
      <c r="BP20" s="190"/>
      <c r="BQ20" s="194"/>
      <c r="BR20" s="190"/>
      <c r="BS20" s="194"/>
      <c r="BT20" s="190"/>
      <c r="BU20" s="194"/>
      <c r="BV20" s="190"/>
      <c r="BW20" s="194"/>
      <c r="BX20" s="190"/>
      <c r="BY20" s="194"/>
      <c r="BZ20" s="190"/>
      <c r="CA20" s="194"/>
      <c r="CB20" s="191"/>
    </row>
    <row r="21" spans="1:80" ht="18" customHeight="1" x14ac:dyDescent="0.4">
      <c r="A21" s="166" t="str">
        <f>名簿!B21&amp;""</f>
        <v>10010011</v>
      </c>
      <c r="B21" s="167" t="str">
        <f>名簿!C21&amp;""</f>
        <v>吉田</v>
      </c>
      <c r="C21" s="168" t="str">
        <f>名簿!D21&amp;""</f>
        <v>亮</v>
      </c>
      <c r="D21" s="190"/>
      <c r="E21" s="194"/>
      <c r="F21" s="190"/>
      <c r="G21" s="194"/>
      <c r="H21" s="190"/>
      <c r="I21" s="194"/>
      <c r="J21" s="190"/>
      <c r="K21" s="194"/>
      <c r="L21" s="190"/>
      <c r="M21" s="194"/>
      <c r="N21" s="190"/>
      <c r="O21" s="194"/>
      <c r="P21" s="190"/>
      <c r="Q21" s="194"/>
      <c r="R21" s="190">
        <v>97</v>
      </c>
      <c r="S21" s="194" t="s">
        <v>252</v>
      </c>
      <c r="T21" s="190"/>
      <c r="U21" s="194"/>
      <c r="V21" s="190"/>
      <c r="W21" s="194"/>
      <c r="X21" s="190"/>
      <c r="Y21" s="194"/>
      <c r="Z21" s="190"/>
      <c r="AA21" s="194"/>
      <c r="AB21" s="190">
        <v>84</v>
      </c>
      <c r="AC21" s="194" t="s">
        <v>249</v>
      </c>
      <c r="AD21" s="190"/>
      <c r="AE21" s="194"/>
      <c r="AF21" s="190"/>
      <c r="AG21" s="194"/>
      <c r="AH21" s="190"/>
      <c r="AI21" s="194"/>
      <c r="AJ21" s="190"/>
      <c r="AK21" s="194"/>
      <c r="AL21" s="190"/>
      <c r="AM21" s="194"/>
      <c r="AN21" s="190"/>
      <c r="AO21" s="194"/>
      <c r="AP21" s="190"/>
      <c r="AQ21" s="194"/>
      <c r="AR21" s="190"/>
      <c r="AS21" s="194"/>
      <c r="AT21" s="190"/>
      <c r="AU21" s="194"/>
      <c r="AV21" s="190"/>
      <c r="AW21" s="194"/>
      <c r="AX21" s="190"/>
      <c r="AY21" s="194"/>
      <c r="AZ21" s="190"/>
      <c r="BA21" s="194"/>
      <c r="BB21" s="190"/>
      <c r="BC21" s="194"/>
      <c r="BD21" s="190"/>
      <c r="BE21" s="194"/>
      <c r="BF21" s="190"/>
      <c r="BG21" s="194"/>
      <c r="BH21" s="190"/>
      <c r="BI21" s="194"/>
      <c r="BJ21" s="190"/>
      <c r="BK21" s="194"/>
      <c r="BL21" s="190"/>
      <c r="BM21" s="194"/>
      <c r="BN21" s="190"/>
      <c r="BO21" s="194"/>
      <c r="BP21" s="190"/>
      <c r="BQ21" s="194"/>
      <c r="BR21" s="190"/>
      <c r="BS21" s="194"/>
      <c r="BT21" s="190"/>
      <c r="BU21" s="194"/>
      <c r="BV21" s="190"/>
      <c r="BW21" s="194"/>
      <c r="BX21" s="190"/>
      <c r="BY21" s="194"/>
      <c r="BZ21" s="190"/>
      <c r="CA21" s="194"/>
      <c r="CB21" s="191"/>
    </row>
    <row r="22" spans="1:80" ht="18" customHeight="1" x14ac:dyDescent="0.4">
      <c r="A22" s="166" t="str">
        <f>名簿!B22&amp;""</f>
        <v>10010012</v>
      </c>
      <c r="B22" s="167" t="str">
        <f>名簿!C22&amp;""</f>
        <v>山田</v>
      </c>
      <c r="C22" s="168" t="str">
        <f>名簿!D22&amp;""</f>
        <v>愛</v>
      </c>
      <c r="D22" s="174"/>
      <c r="E22" s="194"/>
      <c r="F22" s="174"/>
      <c r="G22" s="194"/>
      <c r="H22" s="174"/>
      <c r="I22" s="194"/>
      <c r="J22" s="175"/>
      <c r="K22" s="194"/>
      <c r="L22" s="175"/>
      <c r="M22" s="194"/>
      <c r="N22" s="175"/>
      <c r="O22" s="194"/>
      <c r="P22" s="176"/>
      <c r="Q22" s="194"/>
      <c r="R22" s="176">
        <v>65</v>
      </c>
      <c r="S22" s="194" t="s">
        <v>253</v>
      </c>
      <c r="T22" s="176"/>
      <c r="U22" s="194"/>
      <c r="V22" s="209"/>
      <c r="W22" s="194"/>
      <c r="X22" s="209"/>
      <c r="Y22" s="194"/>
      <c r="Z22" s="209"/>
      <c r="AA22" s="194"/>
      <c r="AB22" s="210">
        <v>95</v>
      </c>
      <c r="AC22" s="194" t="s">
        <v>248</v>
      </c>
      <c r="AD22" s="210"/>
      <c r="AE22" s="194"/>
      <c r="AF22" s="210"/>
      <c r="AG22" s="194"/>
      <c r="AH22" s="211"/>
      <c r="AI22" s="194"/>
      <c r="AJ22" s="211"/>
      <c r="AK22" s="194"/>
      <c r="AL22" s="211"/>
      <c r="AM22" s="194"/>
      <c r="AN22" s="212"/>
      <c r="AO22" s="194"/>
      <c r="AP22" s="212"/>
      <c r="AQ22" s="194"/>
      <c r="AR22" s="212"/>
      <c r="AS22" s="194"/>
      <c r="AT22" s="213"/>
      <c r="AU22" s="194"/>
      <c r="AV22" s="213"/>
      <c r="AW22" s="194"/>
      <c r="AX22" s="213"/>
      <c r="AY22" s="194"/>
      <c r="AZ22" s="214"/>
      <c r="BA22" s="194"/>
      <c r="BB22" s="214"/>
      <c r="BC22" s="194"/>
      <c r="BD22" s="214"/>
      <c r="BE22" s="194"/>
      <c r="BF22" s="215"/>
      <c r="BG22" s="194"/>
      <c r="BH22" s="215"/>
      <c r="BI22" s="194"/>
      <c r="BJ22" s="215"/>
      <c r="BK22" s="194"/>
      <c r="BL22" s="190"/>
      <c r="BM22" s="194"/>
      <c r="BN22" s="190"/>
      <c r="BO22" s="194"/>
      <c r="BP22" s="190"/>
      <c r="BQ22" s="194"/>
      <c r="BR22" s="190"/>
      <c r="BS22" s="194"/>
      <c r="BT22" s="190"/>
      <c r="BU22" s="194"/>
      <c r="BV22" s="190"/>
      <c r="BW22" s="194"/>
      <c r="BX22" s="190"/>
      <c r="BY22" s="194"/>
      <c r="BZ22" s="190"/>
      <c r="CA22" s="194"/>
      <c r="CB22" s="191"/>
    </row>
    <row r="23" spans="1:80" ht="18" customHeight="1" x14ac:dyDescent="0.4">
      <c r="A23" s="166" t="str">
        <f>名簿!B23&amp;""</f>
        <v>10010013</v>
      </c>
      <c r="B23" s="167" t="str">
        <f>名簿!C23&amp;""</f>
        <v>佐々木</v>
      </c>
      <c r="C23" s="168" t="str">
        <f>名簿!D23&amp;""</f>
        <v>浩</v>
      </c>
      <c r="D23" s="190"/>
      <c r="E23" s="194"/>
      <c r="F23" s="190"/>
      <c r="G23" s="194"/>
      <c r="H23" s="190"/>
      <c r="I23" s="194"/>
      <c r="J23" s="190"/>
      <c r="K23" s="194"/>
      <c r="L23" s="190"/>
      <c r="M23" s="194"/>
      <c r="N23" s="190"/>
      <c r="O23" s="194"/>
      <c r="P23" s="190"/>
      <c r="Q23" s="194"/>
      <c r="R23" s="190">
        <v>94</v>
      </c>
      <c r="S23" s="194" t="s">
        <v>252</v>
      </c>
      <c r="T23" s="190"/>
      <c r="U23" s="194"/>
      <c r="V23" s="190"/>
      <c r="W23" s="194"/>
      <c r="X23" s="190"/>
      <c r="Y23" s="194"/>
      <c r="Z23" s="190"/>
      <c r="AA23" s="194"/>
      <c r="AB23" s="190">
        <v>91.5</v>
      </c>
      <c r="AC23" s="194" t="s">
        <v>249</v>
      </c>
      <c r="AD23" s="190"/>
      <c r="AE23" s="194"/>
      <c r="AF23" s="190"/>
      <c r="AG23" s="194"/>
      <c r="AH23" s="190"/>
      <c r="AI23" s="194"/>
      <c r="AJ23" s="190"/>
      <c r="AK23" s="194"/>
      <c r="AL23" s="190"/>
      <c r="AM23" s="194"/>
      <c r="AN23" s="190"/>
      <c r="AO23" s="194"/>
      <c r="AP23" s="190"/>
      <c r="AQ23" s="194"/>
      <c r="AR23" s="190"/>
      <c r="AS23" s="194"/>
      <c r="AT23" s="190"/>
      <c r="AU23" s="194"/>
      <c r="AV23" s="190"/>
      <c r="AW23" s="194"/>
      <c r="AX23" s="190"/>
      <c r="AY23" s="194"/>
      <c r="AZ23" s="190"/>
      <c r="BA23" s="194"/>
      <c r="BB23" s="190"/>
      <c r="BC23" s="194"/>
      <c r="BD23" s="190"/>
      <c r="BE23" s="194"/>
      <c r="BF23" s="190"/>
      <c r="BG23" s="194"/>
      <c r="BH23" s="190"/>
      <c r="BI23" s="194"/>
      <c r="BJ23" s="190"/>
      <c r="BK23" s="194"/>
      <c r="BL23" s="190"/>
      <c r="BM23" s="194"/>
      <c r="BN23" s="190"/>
      <c r="BO23" s="194"/>
      <c r="BP23" s="190"/>
      <c r="BQ23" s="194"/>
      <c r="BR23" s="190"/>
      <c r="BS23" s="194"/>
      <c r="BT23" s="190"/>
      <c r="BU23" s="194"/>
      <c r="BV23" s="190"/>
      <c r="BW23" s="194"/>
      <c r="BX23" s="190"/>
      <c r="BY23" s="194"/>
      <c r="BZ23" s="190"/>
      <c r="CA23" s="194"/>
      <c r="CB23" s="191"/>
    </row>
    <row r="24" spans="1:80" ht="18" customHeight="1" x14ac:dyDescent="0.4">
      <c r="A24" s="166" t="str">
        <f>名簿!B24&amp;""</f>
        <v>10010014</v>
      </c>
      <c r="B24" s="167" t="str">
        <f>名簿!C24&amp;""</f>
        <v>山口</v>
      </c>
      <c r="C24" s="168" t="str">
        <f>名簿!D24&amp;""</f>
        <v>結衣</v>
      </c>
      <c r="D24" s="174"/>
      <c r="E24" s="194"/>
      <c r="F24" s="174"/>
      <c r="G24" s="194"/>
      <c r="H24" s="174"/>
      <c r="I24" s="194"/>
      <c r="J24" s="175"/>
      <c r="K24" s="194"/>
      <c r="L24" s="175"/>
      <c r="M24" s="194"/>
      <c r="N24" s="175"/>
      <c r="O24" s="194"/>
      <c r="P24" s="176"/>
      <c r="Q24" s="194"/>
      <c r="R24" s="176">
        <v>85</v>
      </c>
      <c r="S24" s="194" t="s">
        <v>251</v>
      </c>
      <c r="T24" s="176"/>
      <c r="U24" s="194"/>
      <c r="V24" s="209"/>
      <c r="W24" s="194"/>
      <c r="X24" s="209"/>
      <c r="Y24" s="194"/>
      <c r="Z24" s="209"/>
      <c r="AA24" s="194"/>
      <c r="AB24" s="210">
        <v>95</v>
      </c>
      <c r="AC24" s="194" t="s">
        <v>248</v>
      </c>
      <c r="AD24" s="210"/>
      <c r="AE24" s="194"/>
      <c r="AF24" s="210"/>
      <c r="AG24" s="194"/>
      <c r="AH24" s="211"/>
      <c r="AI24" s="194"/>
      <c r="AJ24" s="211"/>
      <c r="AK24" s="194"/>
      <c r="AL24" s="211"/>
      <c r="AM24" s="194"/>
      <c r="AN24" s="212"/>
      <c r="AO24" s="194"/>
      <c r="AP24" s="212"/>
      <c r="AQ24" s="194"/>
      <c r="AR24" s="212"/>
      <c r="AS24" s="194"/>
      <c r="AT24" s="213"/>
      <c r="AU24" s="194"/>
      <c r="AV24" s="213"/>
      <c r="AW24" s="194"/>
      <c r="AX24" s="213"/>
      <c r="AY24" s="194"/>
      <c r="AZ24" s="214"/>
      <c r="BA24" s="194"/>
      <c r="BB24" s="214"/>
      <c r="BC24" s="194"/>
      <c r="BD24" s="214"/>
      <c r="BE24" s="194"/>
      <c r="BF24" s="215"/>
      <c r="BG24" s="194"/>
      <c r="BH24" s="215"/>
      <c r="BI24" s="194"/>
      <c r="BJ24" s="215"/>
      <c r="BK24" s="194"/>
      <c r="BL24" s="190"/>
      <c r="BM24" s="194"/>
      <c r="BN24" s="190"/>
      <c r="BO24" s="194"/>
      <c r="BP24" s="190"/>
      <c r="BQ24" s="194"/>
      <c r="BR24" s="190"/>
      <c r="BS24" s="194"/>
      <c r="BT24" s="190"/>
      <c r="BU24" s="194"/>
      <c r="BV24" s="190"/>
      <c r="BW24" s="194"/>
      <c r="BX24" s="190"/>
      <c r="BY24" s="194"/>
      <c r="BZ24" s="190"/>
      <c r="CA24" s="194"/>
      <c r="CB24" s="191"/>
    </row>
    <row r="25" spans="1:80" ht="18" customHeight="1" x14ac:dyDescent="0.4">
      <c r="A25" s="166" t="str">
        <f>名簿!B25&amp;""</f>
        <v>10010015</v>
      </c>
      <c r="B25" s="167" t="str">
        <f>名簿!C25&amp;""</f>
        <v>松本</v>
      </c>
      <c r="C25" s="168" t="str">
        <f>名簿!D25&amp;""</f>
        <v>浩</v>
      </c>
      <c r="D25" s="190"/>
      <c r="E25" s="194"/>
      <c r="F25" s="190"/>
      <c r="G25" s="194"/>
      <c r="H25" s="190"/>
      <c r="I25" s="194"/>
      <c r="J25" s="190"/>
      <c r="K25" s="194"/>
      <c r="L25" s="190"/>
      <c r="M25" s="194"/>
      <c r="N25" s="190"/>
      <c r="O25" s="194"/>
      <c r="P25" s="190"/>
      <c r="Q25" s="194"/>
      <c r="R25" s="190">
        <v>12</v>
      </c>
      <c r="S25" s="194" t="s">
        <v>253</v>
      </c>
      <c r="T25" s="190"/>
      <c r="U25" s="194"/>
      <c r="V25" s="190"/>
      <c r="W25" s="194"/>
      <c r="X25" s="190"/>
      <c r="Y25" s="194"/>
      <c r="Z25" s="190"/>
      <c r="AA25" s="194"/>
      <c r="AB25" s="190">
        <v>79.5</v>
      </c>
      <c r="AC25" s="194" t="s">
        <v>249</v>
      </c>
      <c r="AD25" s="190"/>
      <c r="AE25" s="194"/>
      <c r="AF25" s="190"/>
      <c r="AG25" s="194"/>
      <c r="AH25" s="190"/>
      <c r="AI25" s="194"/>
      <c r="AJ25" s="190"/>
      <c r="AK25" s="194"/>
      <c r="AL25" s="190"/>
      <c r="AM25" s="194"/>
      <c r="AN25" s="190"/>
      <c r="AO25" s="194"/>
      <c r="AP25" s="190"/>
      <c r="AQ25" s="194"/>
      <c r="AR25" s="190"/>
      <c r="AS25" s="194"/>
      <c r="AT25" s="190"/>
      <c r="AU25" s="194"/>
      <c r="AV25" s="190"/>
      <c r="AW25" s="194"/>
      <c r="AX25" s="190"/>
      <c r="AY25" s="194"/>
      <c r="AZ25" s="190"/>
      <c r="BA25" s="194"/>
      <c r="BB25" s="190"/>
      <c r="BC25" s="194"/>
      <c r="BD25" s="190"/>
      <c r="BE25" s="194"/>
      <c r="BF25" s="190"/>
      <c r="BG25" s="194"/>
      <c r="BH25" s="190"/>
      <c r="BI25" s="194"/>
      <c r="BJ25" s="190"/>
      <c r="BK25" s="194"/>
      <c r="BL25" s="190"/>
      <c r="BM25" s="194"/>
      <c r="BN25" s="190"/>
      <c r="BO25" s="194"/>
      <c r="BP25" s="190"/>
      <c r="BQ25" s="194"/>
      <c r="BR25" s="190"/>
      <c r="BS25" s="194"/>
      <c r="BT25" s="190"/>
      <c r="BU25" s="194"/>
      <c r="BV25" s="190"/>
      <c r="BW25" s="194"/>
      <c r="BX25" s="190"/>
      <c r="BY25" s="194"/>
      <c r="BZ25" s="190"/>
      <c r="CA25" s="194"/>
      <c r="CB25" s="191"/>
    </row>
    <row r="26" spans="1:80" ht="18" customHeight="1" x14ac:dyDescent="0.4">
      <c r="A26" s="166" t="str">
        <f>名簿!B26&amp;""</f>
        <v>10010016</v>
      </c>
      <c r="B26" s="167" t="str">
        <f>名簿!C26&amp;""</f>
        <v>井上</v>
      </c>
      <c r="C26" s="168" t="str">
        <f>名簿!D26&amp;""</f>
        <v>結衣</v>
      </c>
      <c r="D26" s="174"/>
      <c r="E26" s="194"/>
      <c r="F26" s="174"/>
      <c r="G26" s="194"/>
      <c r="H26" s="174"/>
      <c r="I26" s="194"/>
      <c r="J26" s="175"/>
      <c r="K26" s="194"/>
      <c r="L26" s="175"/>
      <c r="M26" s="194"/>
      <c r="N26" s="175"/>
      <c r="O26" s="194"/>
      <c r="P26" s="176"/>
      <c r="Q26" s="194"/>
      <c r="R26" s="176">
        <v>65</v>
      </c>
      <c r="S26" s="194" t="s">
        <v>253</v>
      </c>
      <c r="T26" s="176"/>
      <c r="U26" s="194"/>
      <c r="V26" s="209"/>
      <c r="W26" s="194"/>
      <c r="X26" s="209"/>
      <c r="Y26" s="194"/>
      <c r="Z26" s="209"/>
      <c r="AA26" s="194"/>
      <c r="AB26" s="210">
        <v>85.5</v>
      </c>
      <c r="AC26" s="194" t="s">
        <v>249</v>
      </c>
      <c r="AD26" s="210"/>
      <c r="AE26" s="194"/>
      <c r="AF26" s="210"/>
      <c r="AG26" s="194"/>
      <c r="AH26" s="211"/>
      <c r="AI26" s="194"/>
      <c r="AJ26" s="211"/>
      <c r="AK26" s="194"/>
      <c r="AL26" s="211"/>
      <c r="AM26" s="194"/>
      <c r="AN26" s="212"/>
      <c r="AO26" s="194"/>
      <c r="AP26" s="212"/>
      <c r="AQ26" s="194"/>
      <c r="AR26" s="212"/>
      <c r="AS26" s="194"/>
      <c r="AT26" s="213"/>
      <c r="AU26" s="194"/>
      <c r="AV26" s="213"/>
      <c r="AW26" s="194"/>
      <c r="AX26" s="213"/>
      <c r="AY26" s="194"/>
      <c r="AZ26" s="214"/>
      <c r="BA26" s="194"/>
      <c r="BB26" s="214"/>
      <c r="BC26" s="194"/>
      <c r="BD26" s="214"/>
      <c r="BE26" s="194"/>
      <c r="BF26" s="215"/>
      <c r="BG26" s="194"/>
      <c r="BH26" s="215"/>
      <c r="BI26" s="194"/>
      <c r="BJ26" s="215"/>
      <c r="BK26" s="194"/>
      <c r="BL26" s="190"/>
      <c r="BM26" s="194"/>
      <c r="BN26" s="190"/>
      <c r="BO26" s="194"/>
      <c r="BP26" s="190"/>
      <c r="BQ26" s="194"/>
      <c r="BR26" s="190"/>
      <c r="BS26" s="194"/>
      <c r="BT26" s="190"/>
      <c r="BU26" s="194"/>
      <c r="BV26" s="190"/>
      <c r="BW26" s="194"/>
      <c r="BX26" s="190"/>
      <c r="BY26" s="194"/>
      <c r="BZ26" s="190"/>
      <c r="CA26" s="194"/>
      <c r="CB26" s="191"/>
    </row>
    <row r="27" spans="1:80" ht="18" customHeight="1" x14ac:dyDescent="0.4">
      <c r="A27" s="166" t="str">
        <f>名簿!B27&amp;""</f>
        <v>10010017</v>
      </c>
      <c r="B27" s="167" t="str">
        <f>名簿!C27&amp;""</f>
        <v>木村</v>
      </c>
      <c r="C27" s="168" t="str">
        <f>名簿!D27&amp;""</f>
        <v>学</v>
      </c>
      <c r="D27" s="190"/>
      <c r="E27" s="194"/>
      <c r="F27" s="190"/>
      <c r="G27" s="194"/>
      <c r="H27" s="190"/>
      <c r="I27" s="194"/>
      <c r="J27" s="190"/>
      <c r="K27" s="194"/>
      <c r="L27" s="190"/>
      <c r="M27" s="194"/>
      <c r="N27" s="190"/>
      <c r="O27" s="194"/>
      <c r="P27" s="190"/>
      <c r="Q27" s="194"/>
      <c r="R27" s="190">
        <v>95</v>
      </c>
      <c r="S27" s="194" t="s">
        <v>252</v>
      </c>
      <c r="T27" s="190"/>
      <c r="U27" s="194"/>
      <c r="V27" s="190"/>
      <c r="W27" s="194"/>
      <c r="X27" s="190"/>
      <c r="Y27" s="194"/>
      <c r="Z27" s="190"/>
      <c r="AA27" s="194"/>
      <c r="AB27" s="190">
        <v>86.5</v>
      </c>
      <c r="AC27" s="194" t="s">
        <v>249</v>
      </c>
      <c r="AD27" s="190"/>
      <c r="AE27" s="194"/>
      <c r="AF27" s="190"/>
      <c r="AG27" s="194"/>
      <c r="AH27" s="190"/>
      <c r="AI27" s="194"/>
      <c r="AJ27" s="190"/>
      <c r="AK27" s="194"/>
      <c r="AL27" s="190"/>
      <c r="AM27" s="194"/>
      <c r="AN27" s="190"/>
      <c r="AO27" s="194"/>
      <c r="AP27" s="190"/>
      <c r="AQ27" s="194"/>
      <c r="AR27" s="190"/>
      <c r="AS27" s="194"/>
      <c r="AT27" s="190"/>
      <c r="AU27" s="194"/>
      <c r="AV27" s="190"/>
      <c r="AW27" s="194"/>
      <c r="AX27" s="190"/>
      <c r="AY27" s="194"/>
      <c r="AZ27" s="190"/>
      <c r="BA27" s="194"/>
      <c r="BB27" s="190"/>
      <c r="BC27" s="194"/>
      <c r="BD27" s="190"/>
      <c r="BE27" s="194"/>
      <c r="BF27" s="190"/>
      <c r="BG27" s="194"/>
      <c r="BH27" s="190"/>
      <c r="BI27" s="194"/>
      <c r="BJ27" s="190"/>
      <c r="BK27" s="194"/>
      <c r="BL27" s="190"/>
      <c r="BM27" s="194"/>
      <c r="BN27" s="190"/>
      <c r="BO27" s="194"/>
      <c r="BP27" s="190"/>
      <c r="BQ27" s="194"/>
      <c r="BR27" s="190"/>
      <c r="BS27" s="194"/>
      <c r="BT27" s="190"/>
      <c r="BU27" s="194"/>
      <c r="BV27" s="190"/>
      <c r="BW27" s="194"/>
      <c r="BX27" s="190"/>
      <c r="BY27" s="194"/>
      <c r="BZ27" s="190"/>
      <c r="CA27" s="194"/>
      <c r="CB27" s="191"/>
    </row>
    <row r="28" spans="1:80" ht="18" customHeight="1" x14ac:dyDescent="0.4">
      <c r="A28" s="166" t="str">
        <f>名簿!B28&amp;""</f>
        <v>10010018</v>
      </c>
      <c r="B28" s="167" t="str">
        <f>名簿!C28&amp;""</f>
        <v>林</v>
      </c>
      <c r="C28" s="168" t="str">
        <f>名簿!D28&amp;""</f>
        <v>凛</v>
      </c>
      <c r="D28" s="174"/>
      <c r="E28" s="194"/>
      <c r="F28" s="174"/>
      <c r="G28" s="194"/>
      <c r="H28" s="174"/>
      <c r="I28" s="194"/>
      <c r="J28" s="175"/>
      <c r="K28" s="194"/>
      <c r="L28" s="175"/>
      <c r="M28" s="194"/>
      <c r="N28" s="175"/>
      <c r="O28" s="194"/>
      <c r="P28" s="176"/>
      <c r="Q28" s="194"/>
      <c r="R28" s="176">
        <v>85</v>
      </c>
      <c r="S28" s="194" t="s">
        <v>251</v>
      </c>
      <c r="T28" s="176"/>
      <c r="U28" s="194"/>
      <c r="V28" s="209"/>
      <c r="W28" s="194"/>
      <c r="X28" s="209"/>
      <c r="Y28" s="194"/>
      <c r="Z28" s="209"/>
      <c r="AA28" s="194"/>
      <c r="AB28" s="210">
        <v>82</v>
      </c>
      <c r="AC28" s="194" t="s">
        <v>249</v>
      </c>
      <c r="AD28" s="210"/>
      <c r="AE28" s="194"/>
      <c r="AF28" s="210"/>
      <c r="AG28" s="194"/>
      <c r="AH28" s="211"/>
      <c r="AI28" s="194"/>
      <c r="AJ28" s="211"/>
      <c r="AK28" s="194"/>
      <c r="AL28" s="211"/>
      <c r="AM28" s="194"/>
      <c r="AN28" s="212"/>
      <c r="AO28" s="194"/>
      <c r="AP28" s="212"/>
      <c r="AQ28" s="194"/>
      <c r="AR28" s="212"/>
      <c r="AS28" s="194"/>
      <c r="AT28" s="213"/>
      <c r="AU28" s="194"/>
      <c r="AV28" s="213"/>
      <c r="AW28" s="194"/>
      <c r="AX28" s="213"/>
      <c r="AY28" s="194"/>
      <c r="AZ28" s="214"/>
      <c r="BA28" s="194"/>
      <c r="BB28" s="214"/>
      <c r="BC28" s="194"/>
      <c r="BD28" s="214"/>
      <c r="BE28" s="194"/>
      <c r="BF28" s="215"/>
      <c r="BG28" s="194"/>
      <c r="BH28" s="215"/>
      <c r="BI28" s="194"/>
      <c r="BJ28" s="215"/>
      <c r="BK28" s="194"/>
      <c r="BL28" s="190"/>
      <c r="BM28" s="194"/>
      <c r="BN28" s="190"/>
      <c r="BO28" s="194"/>
      <c r="BP28" s="190"/>
      <c r="BQ28" s="194"/>
      <c r="BR28" s="190"/>
      <c r="BS28" s="194"/>
      <c r="BT28" s="190"/>
      <c r="BU28" s="194"/>
      <c r="BV28" s="190"/>
      <c r="BW28" s="194"/>
      <c r="BX28" s="190"/>
      <c r="BY28" s="194"/>
      <c r="BZ28" s="190"/>
      <c r="CA28" s="194"/>
      <c r="CB28" s="191"/>
    </row>
    <row r="29" spans="1:80" ht="18" customHeight="1" x14ac:dyDescent="0.4">
      <c r="A29" s="166" t="str">
        <f>名簿!B29&amp;""</f>
        <v>10010019</v>
      </c>
      <c r="B29" s="167" t="str">
        <f>名簿!C29&amp;""</f>
        <v>斎藤</v>
      </c>
      <c r="C29" s="168" t="str">
        <f>名簿!D29&amp;""</f>
        <v>翔太</v>
      </c>
      <c r="D29" s="190"/>
      <c r="E29" s="194"/>
      <c r="F29" s="190"/>
      <c r="G29" s="194"/>
      <c r="H29" s="190"/>
      <c r="I29" s="194"/>
      <c r="J29" s="190"/>
      <c r="K29" s="194"/>
      <c r="L29" s="190"/>
      <c r="M29" s="194"/>
      <c r="N29" s="190"/>
      <c r="O29" s="194"/>
      <c r="P29" s="190"/>
      <c r="Q29" s="194"/>
      <c r="R29" s="190">
        <v>78</v>
      </c>
      <c r="S29" s="194" t="s">
        <v>251</v>
      </c>
      <c r="T29" s="190"/>
      <c r="U29" s="194"/>
      <c r="V29" s="190"/>
      <c r="W29" s="194"/>
      <c r="X29" s="190"/>
      <c r="Y29" s="194"/>
      <c r="Z29" s="190"/>
      <c r="AA29" s="194"/>
      <c r="AB29" s="190">
        <v>91.5</v>
      </c>
      <c r="AC29" s="194" t="s">
        <v>249</v>
      </c>
      <c r="AD29" s="190"/>
      <c r="AE29" s="194"/>
      <c r="AF29" s="190"/>
      <c r="AG29" s="194"/>
      <c r="AH29" s="190"/>
      <c r="AI29" s="194"/>
      <c r="AJ29" s="190"/>
      <c r="AK29" s="194"/>
      <c r="AL29" s="190"/>
      <c r="AM29" s="194"/>
      <c r="AN29" s="190"/>
      <c r="AO29" s="194"/>
      <c r="AP29" s="190"/>
      <c r="AQ29" s="194"/>
      <c r="AR29" s="190"/>
      <c r="AS29" s="194"/>
      <c r="AT29" s="190"/>
      <c r="AU29" s="194"/>
      <c r="AV29" s="190"/>
      <c r="AW29" s="194"/>
      <c r="AX29" s="190"/>
      <c r="AY29" s="194"/>
      <c r="AZ29" s="190"/>
      <c r="BA29" s="194"/>
      <c r="BB29" s="190"/>
      <c r="BC29" s="194"/>
      <c r="BD29" s="190"/>
      <c r="BE29" s="194"/>
      <c r="BF29" s="190"/>
      <c r="BG29" s="194"/>
      <c r="BH29" s="190"/>
      <c r="BI29" s="194"/>
      <c r="BJ29" s="190"/>
      <c r="BK29" s="194"/>
      <c r="BL29" s="190"/>
      <c r="BM29" s="194"/>
      <c r="BN29" s="190"/>
      <c r="BO29" s="194"/>
      <c r="BP29" s="190"/>
      <c r="BQ29" s="194"/>
      <c r="BR29" s="190"/>
      <c r="BS29" s="194"/>
      <c r="BT29" s="190"/>
      <c r="BU29" s="194"/>
      <c r="BV29" s="190"/>
      <c r="BW29" s="194"/>
      <c r="BX29" s="190"/>
      <c r="BY29" s="194"/>
      <c r="BZ29" s="190"/>
      <c r="CA29" s="194"/>
      <c r="CB29" s="191"/>
    </row>
    <row r="30" spans="1:80" ht="18" customHeight="1" x14ac:dyDescent="0.4">
      <c r="A30" s="166" t="str">
        <f>名簿!B30&amp;""</f>
        <v>10010020</v>
      </c>
      <c r="B30" s="167" t="str">
        <f>名簿!C30&amp;""</f>
        <v>清水</v>
      </c>
      <c r="C30" s="168" t="str">
        <f>名簿!D30&amp;""</f>
        <v>結衣</v>
      </c>
      <c r="D30" s="174"/>
      <c r="E30" s="194"/>
      <c r="F30" s="174"/>
      <c r="G30" s="194"/>
      <c r="H30" s="174"/>
      <c r="I30" s="194"/>
      <c r="J30" s="175"/>
      <c r="K30" s="194"/>
      <c r="L30" s="175"/>
      <c r="M30" s="194"/>
      <c r="N30" s="175"/>
      <c r="O30" s="194"/>
      <c r="P30" s="176"/>
      <c r="Q30" s="194"/>
      <c r="R30" s="176">
        <v>98</v>
      </c>
      <c r="S30" s="194" t="s">
        <v>252</v>
      </c>
      <c r="T30" s="176"/>
      <c r="U30" s="194"/>
      <c r="V30" s="209"/>
      <c r="W30" s="194"/>
      <c r="X30" s="209"/>
      <c r="Y30" s="194"/>
      <c r="Z30" s="209"/>
      <c r="AA30" s="194"/>
      <c r="AB30" s="210">
        <v>80</v>
      </c>
      <c r="AC30" s="194" t="s">
        <v>249</v>
      </c>
      <c r="AD30" s="210"/>
      <c r="AE30" s="194"/>
      <c r="AF30" s="210"/>
      <c r="AG30" s="194"/>
      <c r="AH30" s="211"/>
      <c r="AI30" s="194"/>
      <c r="AJ30" s="211"/>
      <c r="AK30" s="194"/>
      <c r="AL30" s="211"/>
      <c r="AM30" s="194"/>
      <c r="AN30" s="212"/>
      <c r="AO30" s="194"/>
      <c r="AP30" s="212"/>
      <c r="AQ30" s="194"/>
      <c r="AR30" s="212"/>
      <c r="AS30" s="194"/>
      <c r="AT30" s="213"/>
      <c r="AU30" s="194"/>
      <c r="AV30" s="213"/>
      <c r="AW30" s="194"/>
      <c r="AX30" s="213"/>
      <c r="AY30" s="194"/>
      <c r="AZ30" s="214"/>
      <c r="BA30" s="194"/>
      <c r="BB30" s="214"/>
      <c r="BC30" s="194"/>
      <c r="BD30" s="214"/>
      <c r="BE30" s="194"/>
      <c r="BF30" s="215"/>
      <c r="BG30" s="194"/>
      <c r="BH30" s="215"/>
      <c r="BI30" s="194"/>
      <c r="BJ30" s="215"/>
      <c r="BK30" s="194"/>
      <c r="BL30" s="190"/>
      <c r="BM30" s="194"/>
      <c r="BN30" s="190"/>
      <c r="BO30" s="194"/>
      <c r="BP30" s="190"/>
      <c r="BQ30" s="194"/>
      <c r="BR30" s="190"/>
      <c r="BS30" s="194"/>
      <c r="BT30" s="190"/>
      <c r="BU30" s="194"/>
      <c r="BV30" s="190"/>
      <c r="BW30" s="194"/>
      <c r="BX30" s="190"/>
      <c r="BY30" s="194"/>
      <c r="BZ30" s="190"/>
      <c r="CA30" s="194"/>
      <c r="CB30" s="191"/>
    </row>
    <row r="31" spans="1:80" ht="18" customHeight="1" x14ac:dyDescent="0.4">
      <c r="A31" s="166" t="str">
        <f>名簿!B31&amp;""</f>
        <v>10010021</v>
      </c>
      <c r="B31" s="167" t="str">
        <f>名簿!C31&amp;""</f>
        <v>山崎</v>
      </c>
      <c r="C31" s="168" t="str">
        <f>名簿!D31&amp;""</f>
        <v>一郎</v>
      </c>
      <c r="D31" s="190"/>
      <c r="E31" s="194"/>
      <c r="F31" s="190"/>
      <c r="G31" s="194"/>
      <c r="H31" s="190"/>
      <c r="I31" s="194"/>
      <c r="J31" s="190"/>
      <c r="K31" s="194"/>
      <c r="L31" s="190"/>
      <c r="M31" s="194"/>
      <c r="N31" s="190"/>
      <c r="O31" s="194"/>
      <c r="P31" s="190"/>
      <c r="Q31" s="194"/>
      <c r="R31" s="190">
        <v>68</v>
      </c>
      <c r="S31" s="194" t="s">
        <v>253</v>
      </c>
      <c r="T31" s="190"/>
      <c r="U31" s="194"/>
      <c r="V31" s="190"/>
      <c r="W31" s="194"/>
      <c r="X31" s="190"/>
      <c r="Y31" s="194"/>
      <c r="Z31" s="190"/>
      <c r="AA31" s="194"/>
      <c r="AB31" s="190">
        <v>82</v>
      </c>
      <c r="AC31" s="194" t="s">
        <v>249</v>
      </c>
      <c r="AD31" s="190"/>
      <c r="AE31" s="194"/>
      <c r="AF31" s="190"/>
      <c r="AG31" s="194"/>
      <c r="AH31" s="190"/>
      <c r="AI31" s="194"/>
      <c r="AJ31" s="190"/>
      <c r="AK31" s="194"/>
      <c r="AL31" s="190"/>
      <c r="AM31" s="194"/>
      <c r="AN31" s="190"/>
      <c r="AO31" s="194"/>
      <c r="AP31" s="190"/>
      <c r="AQ31" s="194"/>
      <c r="AR31" s="190"/>
      <c r="AS31" s="194"/>
      <c r="AT31" s="190"/>
      <c r="AU31" s="194"/>
      <c r="AV31" s="190"/>
      <c r="AW31" s="194"/>
      <c r="AX31" s="190"/>
      <c r="AY31" s="194"/>
      <c r="AZ31" s="190"/>
      <c r="BA31" s="194"/>
      <c r="BB31" s="190"/>
      <c r="BC31" s="194"/>
      <c r="BD31" s="190"/>
      <c r="BE31" s="194"/>
      <c r="BF31" s="190"/>
      <c r="BG31" s="194"/>
      <c r="BH31" s="190"/>
      <c r="BI31" s="194"/>
      <c r="BJ31" s="190"/>
      <c r="BK31" s="194"/>
      <c r="BL31" s="190"/>
      <c r="BM31" s="194"/>
      <c r="BN31" s="190"/>
      <c r="BO31" s="194"/>
      <c r="BP31" s="190"/>
      <c r="BQ31" s="194"/>
      <c r="BR31" s="190"/>
      <c r="BS31" s="194"/>
      <c r="BT31" s="190"/>
      <c r="BU31" s="194"/>
      <c r="BV31" s="190"/>
      <c r="BW31" s="194"/>
      <c r="BX31" s="190"/>
      <c r="BY31" s="194"/>
      <c r="BZ31" s="190"/>
      <c r="CA31" s="194"/>
      <c r="CB31" s="191"/>
    </row>
    <row r="32" spans="1:80" ht="18" customHeight="1" x14ac:dyDescent="0.4">
      <c r="A32" s="166" t="str">
        <f>名簿!B32&amp;""</f>
        <v>10010022</v>
      </c>
      <c r="B32" s="167" t="str">
        <f>名簿!C32&amp;""</f>
        <v>森</v>
      </c>
      <c r="C32" s="168" t="str">
        <f>名簿!D32&amp;""</f>
        <v>凛</v>
      </c>
      <c r="D32" s="174"/>
      <c r="E32" s="194"/>
      <c r="F32" s="174"/>
      <c r="G32" s="194"/>
      <c r="H32" s="174"/>
      <c r="I32" s="194"/>
      <c r="J32" s="175"/>
      <c r="K32" s="194"/>
      <c r="L32" s="175"/>
      <c r="M32" s="194"/>
      <c r="N32" s="175"/>
      <c r="O32" s="194"/>
      <c r="P32" s="176"/>
      <c r="Q32" s="194"/>
      <c r="R32" s="176">
        <v>95</v>
      </c>
      <c r="S32" s="194" t="s">
        <v>252</v>
      </c>
      <c r="T32" s="176"/>
      <c r="U32" s="194"/>
      <c r="V32" s="209"/>
      <c r="W32" s="194"/>
      <c r="X32" s="209"/>
      <c r="Y32" s="194"/>
      <c r="Z32" s="209"/>
      <c r="AA32" s="194"/>
      <c r="AB32" s="210">
        <v>77.5</v>
      </c>
      <c r="AC32" s="194" t="s">
        <v>249</v>
      </c>
      <c r="AD32" s="210"/>
      <c r="AE32" s="194"/>
      <c r="AF32" s="210"/>
      <c r="AG32" s="194"/>
      <c r="AH32" s="211"/>
      <c r="AI32" s="194"/>
      <c r="AJ32" s="211"/>
      <c r="AK32" s="194"/>
      <c r="AL32" s="211"/>
      <c r="AM32" s="194"/>
      <c r="AN32" s="212"/>
      <c r="AO32" s="194"/>
      <c r="AP32" s="212"/>
      <c r="AQ32" s="194"/>
      <c r="AR32" s="212"/>
      <c r="AS32" s="194"/>
      <c r="AT32" s="213"/>
      <c r="AU32" s="194"/>
      <c r="AV32" s="213"/>
      <c r="AW32" s="194"/>
      <c r="AX32" s="213"/>
      <c r="AY32" s="194"/>
      <c r="AZ32" s="214"/>
      <c r="BA32" s="194"/>
      <c r="BB32" s="214"/>
      <c r="BC32" s="194"/>
      <c r="BD32" s="214"/>
      <c r="BE32" s="194"/>
      <c r="BF32" s="215"/>
      <c r="BG32" s="194"/>
      <c r="BH32" s="215"/>
      <c r="BI32" s="194"/>
      <c r="BJ32" s="215"/>
      <c r="BK32" s="194"/>
      <c r="BL32" s="190"/>
      <c r="BM32" s="194"/>
      <c r="BN32" s="190"/>
      <c r="BO32" s="194"/>
      <c r="BP32" s="190"/>
      <c r="BQ32" s="194"/>
      <c r="BR32" s="190"/>
      <c r="BS32" s="194"/>
      <c r="BT32" s="190"/>
      <c r="BU32" s="194"/>
      <c r="BV32" s="190"/>
      <c r="BW32" s="194"/>
      <c r="BX32" s="190"/>
      <c r="BY32" s="194"/>
      <c r="BZ32" s="190"/>
      <c r="CA32" s="194"/>
      <c r="CB32" s="191"/>
    </row>
    <row r="33" spans="1:80" ht="18" customHeight="1" x14ac:dyDescent="0.4">
      <c r="A33" s="166" t="str">
        <f>名簿!B33&amp;""</f>
        <v>10010023</v>
      </c>
      <c r="B33" s="167" t="str">
        <f>名簿!C33&amp;""</f>
        <v>池田</v>
      </c>
      <c r="C33" s="168" t="str">
        <f>名簿!D33&amp;""</f>
        <v>直樹</v>
      </c>
      <c r="D33" s="190"/>
      <c r="E33" s="194"/>
      <c r="F33" s="190"/>
      <c r="G33" s="194"/>
      <c r="H33" s="190"/>
      <c r="I33" s="194"/>
      <c r="J33" s="190"/>
      <c r="K33" s="194"/>
      <c r="L33" s="190"/>
      <c r="M33" s="194"/>
      <c r="N33" s="190"/>
      <c r="O33" s="194"/>
      <c r="P33" s="190"/>
      <c r="Q33" s="194"/>
      <c r="R33" s="190">
        <v>86</v>
      </c>
      <c r="S33" s="194" t="s">
        <v>251</v>
      </c>
      <c r="T33" s="190"/>
      <c r="U33" s="194"/>
      <c r="V33" s="190"/>
      <c r="W33" s="194"/>
      <c r="X33" s="190"/>
      <c r="Y33" s="194"/>
      <c r="Z33" s="190"/>
      <c r="AA33" s="194"/>
      <c r="AB33" s="190">
        <v>92.5</v>
      </c>
      <c r="AC33" s="194" t="s">
        <v>249</v>
      </c>
      <c r="AD33" s="190"/>
      <c r="AE33" s="194"/>
      <c r="AF33" s="190"/>
      <c r="AG33" s="194"/>
      <c r="AH33" s="190"/>
      <c r="AI33" s="194"/>
      <c r="AJ33" s="190"/>
      <c r="AK33" s="194"/>
      <c r="AL33" s="190"/>
      <c r="AM33" s="194"/>
      <c r="AN33" s="190"/>
      <c r="AO33" s="194"/>
      <c r="AP33" s="190"/>
      <c r="AQ33" s="194"/>
      <c r="AR33" s="190"/>
      <c r="AS33" s="194"/>
      <c r="AT33" s="190"/>
      <c r="AU33" s="194"/>
      <c r="AV33" s="190"/>
      <c r="AW33" s="194"/>
      <c r="AX33" s="190"/>
      <c r="AY33" s="194"/>
      <c r="AZ33" s="190"/>
      <c r="BA33" s="194"/>
      <c r="BB33" s="190"/>
      <c r="BC33" s="194"/>
      <c r="BD33" s="190"/>
      <c r="BE33" s="194"/>
      <c r="BF33" s="190"/>
      <c r="BG33" s="194"/>
      <c r="BH33" s="190"/>
      <c r="BI33" s="194"/>
      <c r="BJ33" s="190"/>
      <c r="BK33" s="194"/>
      <c r="BL33" s="190"/>
      <c r="BM33" s="194"/>
      <c r="BN33" s="190"/>
      <c r="BO33" s="194"/>
      <c r="BP33" s="190"/>
      <c r="BQ33" s="194"/>
      <c r="BR33" s="190"/>
      <c r="BS33" s="194"/>
      <c r="BT33" s="190"/>
      <c r="BU33" s="194"/>
      <c r="BV33" s="190"/>
      <c r="BW33" s="194"/>
      <c r="BX33" s="190"/>
      <c r="BY33" s="194"/>
      <c r="BZ33" s="190"/>
      <c r="CA33" s="194"/>
      <c r="CB33" s="191"/>
    </row>
    <row r="34" spans="1:80" ht="18" customHeight="1" x14ac:dyDescent="0.4">
      <c r="A34" s="166" t="str">
        <f>名簿!B34&amp;""</f>
        <v>10010024</v>
      </c>
      <c r="B34" s="167" t="str">
        <f>名簿!C34&amp;""</f>
        <v>橋本</v>
      </c>
      <c r="C34" s="168" t="str">
        <f>名簿!D34&amp;""</f>
        <v>愛</v>
      </c>
      <c r="D34" s="174"/>
      <c r="E34" s="194"/>
      <c r="F34" s="174"/>
      <c r="G34" s="194"/>
      <c r="H34" s="174"/>
      <c r="I34" s="194"/>
      <c r="J34" s="175"/>
      <c r="K34" s="194"/>
      <c r="L34" s="175"/>
      <c r="M34" s="194"/>
      <c r="N34" s="175"/>
      <c r="O34" s="194"/>
      <c r="P34" s="176"/>
      <c r="Q34" s="194"/>
      <c r="R34" s="176">
        <v>99</v>
      </c>
      <c r="S34" s="194" t="s">
        <v>252</v>
      </c>
      <c r="T34" s="176"/>
      <c r="U34" s="194"/>
      <c r="V34" s="209"/>
      <c r="W34" s="194"/>
      <c r="X34" s="209"/>
      <c r="Y34" s="194"/>
      <c r="Z34" s="209"/>
      <c r="AA34" s="194"/>
      <c r="AB34" s="210">
        <v>85</v>
      </c>
      <c r="AC34" s="194" t="s">
        <v>249</v>
      </c>
      <c r="AD34" s="210"/>
      <c r="AE34" s="194"/>
      <c r="AF34" s="210"/>
      <c r="AG34" s="194"/>
      <c r="AH34" s="211"/>
      <c r="AI34" s="194"/>
      <c r="AJ34" s="211"/>
      <c r="AK34" s="194"/>
      <c r="AL34" s="211"/>
      <c r="AM34" s="194"/>
      <c r="AN34" s="212"/>
      <c r="AO34" s="194"/>
      <c r="AP34" s="212"/>
      <c r="AQ34" s="194"/>
      <c r="AR34" s="212"/>
      <c r="AS34" s="194"/>
      <c r="AT34" s="213"/>
      <c r="AU34" s="194"/>
      <c r="AV34" s="213"/>
      <c r="AW34" s="194"/>
      <c r="AX34" s="213"/>
      <c r="AY34" s="194"/>
      <c r="AZ34" s="214"/>
      <c r="BA34" s="194"/>
      <c r="BB34" s="214"/>
      <c r="BC34" s="194"/>
      <c r="BD34" s="214"/>
      <c r="BE34" s="194"/>
      <c r="BF34" s="215"/>
      <c r="BG34" s="194"/>
      <c r="BH34" s="215"/>
      <c r="BI34" s="194"/>
      <c r="BJ34" s="215"/>
      <c r="BK34" s="194"/>
      <c r="BL34" s="190"/>
      <c r="BM34" s="194"/>
      <c r="BN34" s="190"/>
      <c r="BO34" s="194"/>
      <c r="BP34" s="190"/>
      <c r="BQ34" s="194"/>
      <c r="BR34" s="190"/>
      <c r="BS34" s="194"/>
      <c r="BT34" s="190"/>
      <c r="BU34" s="194"/>
      <c r="BV34" s="190"/>
      <c r="BW34" s="194"/>
      <c r="BX34" s="190"/>
      <c r="BY34" s="194"/>
      <c r="BZ34" s="190"/>
      <c r="CA34" s="194"/>
      <c r="CB34" s="191"/>
    </row>
    <row r="35" spans="1:80" ht="18" customHeight="1" x14ac:dyDescent="0.4">
      <c r="A35" s="166" t="str">
        <f>名簿!B35&amp;""</f>
        <v>10010025</v>
      </c>
      <c r="B35" s="167" t="str">
        <f>名簿!C35&amp;""</f>
        <v>阿部</v>
      </c>
      <c r="C35" s="168" t="str">
        <f>名簿!D35&amp;""</f>
        <v>健太</v>
      </c>
      <c r="D35" s="190"/>
      <c r="E35" s="194"/>
      <c r="F35" s="190"/>
      <c r="G35" s="194"/>
      <c r="H35" s="190"/>
      <c r="I35" s="194"/>
      <c r="J35" s="190"/>
      <c r="K35" s="194"/>
      <c r="L35" s="190"/>
      <c r="M35" s="194"/>
      <c r="N35" s="190"/>
      <c r="O35" s="194"/>
      <c r="P35" s="190"/>
      <c r="Q35" s="194"/>
      <c r="R35" s="190">
        <v>58</v>
      </c>
      <c r="S35" s="194" t="s">
        <v>253</v>
      </c>
      <c r="T35" s="190"/>
      <c r="U35" s="194"/>
      <c r="V35" s="190"/>
      <c r="W35" s="194"/>
      <c r="X35" s="190"/>
      <c r="Y35" s="194"/>
      <c r="Z35" s="190"/>
      <c r="AA35" s="194"/>
      <c r="AB35" s="190">
        <v>86</v>
      </c>
      <c r="AC35" s="194" t="s">
        <v>249</v>
      </c>
      <c r="AD35" s="190"/>
      <c r="AE35" s="194"/>
      <c r="AF35" s="190"/>
      <c r="AG35" s="194"/>
      <c r="AH35" s="190"/>
      <c r="AI35" s="194"/>
      <c r="AJ35" s="190"/>
      <c r="AK35" s="194"/>
      <c r="AL35" s="190"/>
      <c r="AM35" s="194"/>
      <c r="AN35" s="190"/>
      <c r="AO35" s="194"/>
      <c r="AP35" s="190"/>
      <c r="AQ35" s="194"/>
      <c r="AR35" s="190"/>
      <c r="AS35" s="194"/>
      <c r="AT35" s="190"/>
      <c r="AU35" s="194"/>
      <c r="AV35" s="190"/>
      <c r="AW35" s="194"/>
      <c r="AX35" s="190"/>
      <c r="AY35" s="194"/>
      <c r="AZ35" s="190"/>
      <c r="BA35" s="194"/>
      <c r="BB35" s="190"/>
      <c r="BC35" s="194"/>
      <c r="BD35" s="190"/>
      <c r="BE35" s="194"/>
      <c r="BF35" s="190"/>
      <c r="BG35" s="194"/>
      <c r="BH35" s="190"/>
      <c r="BI35" s="194"/>
      <c r="BJ35" s="190"/>
      <c r="BK35" s="194"/>
      <c r="BL35" s="190"/>
      <c r="BM35" s="194"/>
      <c r="BN35" s="190"/>
      <c r="BO35" s="194"/>
      <c r="BP35" s="190"/>
      <c r="BQ35" s="194"/>
      <c r="BR35" s="190"/>
      <c r="BS35" s="194"/>
      <c r="BT35" s="190"/>
      <c r="BU35" s="194"/>
      <c r="BV35" s="190"/>
      <c r="BW35" s="194"/>
      <c r="BX35" s="190"/>
      <c r="BY35" s="194"/>
      <c r="BZ35" s="190"/>
      <c r="CA35" s="194"/>
      <c r="CB35" s="191"/>
    </row>
    <row r="36" spans="1:80" ht="18" customHeight="1" x14ac:dyDescent="0.4">
      <c r="A36" s="166" t="str">
        <f>名簿!B36&amp;""</f>
        <v>10010026</v>
      </c>
      <c r="B36" s="167" t="str">
        <f>名簿!C36&amp;""</f>
        <v>石川</v>
      </c>
      <c r="C36" s="168" t="str">
        <f>名簿!D36&amp;""</f>
        <v>陽菜</v>
      </c>
      <c r="D36" s="174"/>
      <c r="E36" s="194"/>
      <c r="F36" s="174"/>
      <c r="G36" s="194"/>
      <c r="H36" s="174"/>
      <c r="I36" s="194"/>
      <c r="J36" s="175"/>
      <c r="K36" s="194"/>
      <c r="L36" s="175"/>
      <c r="M36" s="194"/>
      <c r="N36" s="175"/>
      <c r="O36" s="194"/>
      <c r="P36" s="176"/>
      <c r="Q36" s="194"/>
      <c r="R36" s="176">
        <v>46</v>
      </c>
      <c r="S36" s="194" t="s">
        <v>253</v>
      </c>
      <c r="T36" s="176"/>
      <c r="U36" s="194"/>
      <c r="V36" s="209"/>
      <c r="W36" s="194"/>
      <c r="X36" s="209"/>
      <c r="Y36" s="194"/>
      <c r="Z36" s="209"/>
      <c r="AA36" s="194"/>
      <c r="AB36" s="210">
        <v>71.5</v>
      </c>
      <c r="AC36" s="194" t="s">
        <v>250</v>
      </c>
      <c r="AD36" s="210"/>
      <c r="AE36" s="194"/>
      <c r="AF36" s="210"/>
      <c r="AG36" s="194"/>
      <c r="AH36" s="211"/>
      <c r="AI36" s="194"/>
      <c r="AJ36" s="211"/>
      <c r="AK36" s="194"/>
      <c r="AL36" s="211"/>
      <c r="AM36" s="194"/>
      <c r="AN36" s="212"/>
      <c r="AO36" s="194"/>
      <c r="AP36" s="212"/>
      <c r="AQ36" s="194"/>
      <c r="AR36" s="212"/>
      <c r="AS36" s="194"/>
      <c r="AT36" s="213"/>
      <c r="AU36" s="194"/>
      <c r="AV36" s="213"/>
      <c r="AW36" s="194"/>
      <c r="AX36" s="213"/>
      <c r="AY36" s="194"/>
      <c r="AZ36" s="214"/>
      <c r="BA36" s="194"/>
      <c r="BB36" s="214"/>
      <c r="BC36" s="194"/>
      <c r="BD36" s="214"/>
      <c r="BE36" s="194"/>
      <c r="BF36" s="215"/>
      <c r="BG36" s="194"/>
      <c r="BH36" s="215"/>
      <c r="BI36" s="194"/>
      <c r="BJ36" s="215"/>
      <c r="BK36" s="194"/>
      <c r="BL36" s="190"/>
      <c r="BM36" s="194"/>
      <c r="BN36" s="190"/>
      <c r="BO36" s="194"/>
      <c r="BP36" s="190"/>
      <c r="BQ36" s="194"/>
      <c r="BR36" s="190"/>
      <c r="BS36" s="194"/>
      <c r="BT36" s="190"/>
      <c r="BU36" s="194"/>
      <c r="BV36" s="190"/>
      <c r="BW36" s="194"/>
      <c r="BX36" s="190"/>
      <c r="BY36" s="194"/>
      <c r="BZ36" s="190"/>
      <c r="CA36" s="194"/>
      <c r="CB36" s="191"/>
    </row>
    <row r="37" spans="1:80" ht="18" customHeight="1" x14ac:dyDescent="0.4">
      <c r="A37" s="166" t="str">
        <f>名簿!B37&amp;""</f>
        <v>10010027</v>
      </c>
      <c r="B37" s="167" t="str">
        <f>名簿!C37&amp;""</f>
        <v>山下</v>
      </c>
      <c r="C37" s="168" t="str">
        <f>名簿!D37&amp;""</f>
        <v>学</v>
      </c>
      <c r="D37" s="190"/>
      <c r="E37" s="194"/>
      <c r="F37" s="190"/>
      <c r="G37" s="194"/>
      <c r="H37" s="190"/>
      <c r="I37" s="194"/>
      <c r="J37" s="190"/>
      <c r="K37" s="194"/>
      <c r="L37" s="190"/>
      <c r="M37" s="194"/>
      <c r="N37" s="190"/>
      <c r="O37" s="194"/>
      <c r="P37" s="190"/>
      <c r="Q37" s="194"/>
      <c r="R37" s="190">
        <v>54</v>
      </c>
      <c r="S37" s="194" t="s">
        <v>253</v>
      </c>
      <c r="T37" s="190"/>
      <c r="U37" s="194"/>
      <c r="V37" s="190"/>
      <c r="W37" s="194"/>
      <c r="X37" s="190"/>
      <c r="Y37" s="194"/>
      <c r="Z37" s="190"/>
      <c r="AA37" s="194"/>
      <c r="AB37" s="190">
        <v>89</v>
      </c>
      <c r="AC37" s="194" t="s">
        <v>249</v>
      </c>
      <c r="AD37" s="190"/>
      <c r="AE37" s="194"/>
      <c r="AF37" s="190"/>
      <c r="AG37" s="194"/>
      <c r="AH37" s="190"/>
      <c r="AI37" s="194"/>
      <c r="AJ37" s="190"/>
      <c r="AK37" s="194"/>
      <c r="AL37" s="190"/>
      <c r="AM37" s="194"/>
      <c r="AN37" s="190"/>
      <c r="AO37" s="194"/>
      <c r="AP37" s="190"/>
      <c r="AQ37" s="194"/>
      <c r="AR37" s="190"/>
      <c r="AS37" s="194"/>
      <c r="AT37" s="190"/>
      <c r="AU37" s="194"/>
      <c r="AV37" s="190"/>
      <c r="AW37" s="194"/>
      <c r="AX37" s="190"/>
      <c r="AY37" s="194"/>
      <c r="AZ37" s="190"/>
      <c r="BA37" s="194"/>
      <c r="BB37" s="190"/>
      <c r="BC37" s="194"/>
      <c r="BD37" s="190"/>
      <c r="BE37" s="194"/>
      <c r="BF37" s="190"/>
      <c r="BG37" s="194"/>
      <c r="BH37" s="190"/>
      <c r="BI37" s="194"/>
      <c r="BJ37" s="190"/>
      <c r="BK37" s="194"/>
      <c r="BL37" s="190"/>
      <c r="BM37" s="194"/>
      <c r="BN37" s="190"/>
      <c r="BO37" s="194"/>
      <c r="BP37" s="190"/>
      <c r="BQ37" s="194"/>
      <c r="BR37" s="190"/>
      <c r="BS37" s="194"/>
      <c r="BT37" s="190"/>
      <c r="BU37" s="194"/>
      <c r="BV37" s="190"/>
      <c r="BW37" s="194"/>
      <c r="BX37" s="190"/>
      <c r="BY37" s="194"/>
      <c r="BZ37" s="190"/>
      <c r="CA37" s="194"/>
      <c r="CB37" s="191"/>
    </row>
    <row r="38" spans="1:80" ht="18" customHeight="1" x14ac:dyDescent="0.4">
      <c r="A38" s="166" t="str">
        <f>名簿!B38&amp;""</f>
        <v>10010028</v>
      </c>
      <c r="B38" s="167" t="str">
        <f>名簿!C38&amp;""</f>
        <v>中島</v>
      </c>
      <c r="C38" s="168" t="str">
        <f>名簿!D38&amp;""</f>
        <v>凛</v>
      </c>
      <c r="D38" s="174"/>
      <c r="E38" s="194"/>
      <c r="F38" s="174"/>
      <c r="G38" s="194"/>
      <c r="H38" s="174"/>
      <c r="I38" s="194"/>
      <c r="J38" s="175"/>
      <c r="K38" s="194"/>
      <c r="L38" s="175"/>
      <c r="M38" s="194"/>
      <c r="N38" s="175"/>
      <c r="O38" s="194"/>
      <c r="P38" s="176"/>
      <c r="Q38" s="194"/>
      <c r="R38" s="176">
        <v>82</v>
      </c>
      <c r="S38" s="194" t="s">
        <v>251</v>
      </c>
      <c r="T38" s="176"/>
      <c r="U38" s="194"/>
      <c r="V38" s="209"/>
      <c r="W38" s="194"/>
      <c r="X38" s="209"/>
      <c r="Y38" s="194"/>
      <c r="Z38" s="209"/>
      <c r="AA38" s="194"/>
      <c r="AB38" s="210">
        <v>93</v>
      </c>
      <c r="AC38" s="194" t="s">
        <v>249</v>
      </c>
      <c r="AD38" s="210"/>
      <c r="AE38" s="194"/>
      <c r="AF38" s="210"/>
      <c r="AG38" s="194"/>
      <c r="AH38" s="211"/>
      <c r="AI38" s="194"/>
      <c r="AJ38" s="211"/>
      <c r="AK38" s="194"/>
      <c r="AL38" s="211"/>
      <c r="AM38" s="194"/>
      <c r="AN38" s="212"/>
      <c r="AO38" s="194"/>
      <c r="AP38" s="212"/>
      <c r="AQ38" s="194"/>
      <c r="AR38" s="212"/>
      <c r="AS38" s="194"/>
      <c r="AT38" s="213"/>
      <c r="AU38" s="194"/>
      <c r="AV38" s="213"/>
      <c r="AW38" s="194"/>
      <c r="AX38" s="213"/>
      <c r="AY38" s="194"/>
      <c r="AZ38" s="214"/>
      <c r="BA38" s="194"/>
      <c r="BB38" s="214"/>
      <c r="BC38" s="194"/>
      <c r="BD38" s="214"/>
      <c r="BE38" s="194"/>
      <c r="BF38" s="215"/>
      <c r="BG38" s="194"/>
      <c r="BH38" s="215"/>
      <c r="BI38" s="194"/>
      <c r="BJ38" s="215"/>
      <c r="BK38" s="194"/>
      <c r="BL38" s="190"/>
      <c r="BM38" s="194"/>
      <c r="BN38" s="190"/>
      <c r="BO38" s="194"/>
      <c r="BP38" s="190"/>
      <c r="BQ38" s="194"/>
      <c r="BR38" s="190"/>
      <c r="BS38" s="194"/>
      <c r="BT38" s="190"/>
      <c r="BU38" s="194"/>
      <c r="BV38" s="190"/>
      <c r="BW38" s="194"/>
      <c r="BX38" s="190"/>
      <c r="BY38" s="194"/>
      <c r="BZ38" s="190"/>
      <c r="CA38" s="194"/>
      <c r="CB38" s="191"/>
    </row>
    <row r="39" spans="1:80" ht="18" customHeight="1" x14ac:dyDescent="0.4">
      <c r="A39" s="166" t="str">
        <f>名簿!B39&amp;""</f>
        <v>10010029</v>
      </c>
      <c r="B39" s="167" t="str">
        <f>名簿!C39&amp;""</f>
        <v>石井</v>
      </c>
      <c r="C39" s="168" t="str">
        <f>名簿!D39&amp;""</f>
        <v>健太</v>
      </c>
      <c r="D39" s="190"/>
      <c r="E39" s="194"/>
      <c r="F39" s="190"/>
      <c r="G39" s="194"/>
      <c r="H39" s="190"/>
      <c r="I39" s="194"/>
      <c r="J39" s="190"/>
      <c r="K39" s="194"/>
      <c r="L39" s="190"/>
      <c r="M39" s="194"/>
      <c r="N39" s="190"/>
      <c r="O39" s="194"/>
      <c r="P39" s="190"/>
      <c r="Q39" s="194"/>
      <c r="R39" s="190">
        <v>61</v>
      </c>
      <c r="S39" s="194" t="s">
        <v>253</v>
      </c>
      <c r="T39" s="190"/>
      <c r="U39" s="194"/>
      <c r="V39" s="190"/>
      <c r="W39" s="194"/>
      <c r="X39" s="190"/>
      <c r="Y39" s="194"/>
      <c r="Z39" s="190"/>
      <c r="AA39" s="194"/>
      <c r="AB39" s="190">
        <v>79.5</v>
      </c>
      <c r="AC39" s="194" t="s">
        <v>249</v>
      </c>
      <c r="AD39" s="190"/>
      <c r="AE39" s="194"/>
      <c r="AF39" s="190"/>
      <c r="AG39" s="194"/>
      <c r="AH39" s="190"/>
      <c r="AI39" s="194"/>
      <c r="AJ39" s="190"/>
      <c r="AK39" s="194"/>
      <c r="AL39" s="190"/>
      <c r="AM39" s="194"/>
      <c r="AN39" s="190"/>
      <c r="AO39" s="194"/>
      <c r="AP39" s="190"/>
      <c r="AQ39" s="194"/>
      <c r="AR39" s="190"/>
      <c r="AS39" s="194"/>
      <c r="AT39" s="190"/>
      <c r="AU39" s="194"/>
      <c r="AV39" s="190"/>
      <c r="AW39" s="194"/>
      <c r="AX39" s="190"/>
      <c r="AY39" s="194"/>
      <c r="AZ39" s="190"/>
      <c r="BA39" s="194"/>
      <c r="BB39" s="190"/>
      <c r="BC39" s="194"/>
      <c r="BD39" s="190"/>
      <c r="BE39" s="194"/>
      <c r="BF39" s="190"/>
      <c r="BG39" s="194"/>
      <c r="BH39" s="190"/>
      <c r="BI39" s="194"/>
      <c r="BJ39" s="190"/>
      <c r="BK39" s="194"/>
      <c r="BL39" s="190"/>
      <c r="BM39" s="194"/>
      <c r="BN39" s="190"/>
      <c r="BO39" s="194"/>
      <c r="BP39" s="190"/>
      <c r="BQ39" s="194"/>
      <c r="BR39" s="190"/>
      <c r="BS39" s="194"/>
      <c r="BT39" s="190"/>
      <c r="BU39" s="194"/>
      <c r="BV39" s="190"/>
      <c r="BW39" s="194"/>
      <c r="BX39" s="190"/>
      <c r="BY39" s="194"/>
      <c r="BZ39" s="190"/>
      <c r="CA39" s="194"/>
      <c r="CB39" s="191"/>
    </row>
    <row r="40" spans="1:80" ht="18" customHeight="1" thickBot="1" x14ac:dyDescent="0.45">
      <c r="A40" s="169" t="str">
        <f>名簿!B40&amp;""</f>
        <v>10010030</v>
      </c>
      <c r="B40" s="170" t="str">
        <f>名簿!C40&amp;""</f>
        <v>小川</v>
      </c>
      <c r="C40" s="171" t="str">
        <f>名簿!D40&amp;""</f>
        <v>楓</v>
      </c>
      <c r="D40" s="177"/>
      <c r="E40" s="195"/>
      <c r="F40" s="177"/>
      <c r="G40" s="195"/>
      <c r="H40" s="177"/>
      <c r="I40" s="195"/>
      <c r="J40" s="178"/>
      <c r="K40" s="195"/>
      <c r="L40" s="178"/>
      <c r="M40" s="195"/>
      <c r="N40" s="178"/>
      <c r="O40" s="195"/>
      <c r="P40" s="179"/>
      <c r="Q40" s="195"/>
      <c r="R40" s="179">
        <v>35</v>
      </c>
      <c r="S40" s="195" t="s">
        <v>253</v>
      </c>
      <c r="T40" s="179"/>
      <c r="U40" s="195"/>
      <c r="V40" s="216"/>
      <c r="W40" s="195"/>
      <c r="X40" s="216"/>
      <c r="Y40" s="195"/>
      <c r="Z40" s="216"/>
      <c r="AA40" s="195"/>
      <c r="AB40" s="217">
        <v>90</v>
      </c>
      <c r="AC40" s="195" t="s">
        <v>249</v>
      </c>
      <c r="AD40" s="217"/>
      <c r="AE40" s="195"/>
      <c r="AF40" s="217"/>
      <c r="AG40" s="195"/>
      <c r="AH40" s="218"/>
      <c r="AI40" s="195"/>
      <c r="AJ40" s="218"/>
      <c r="AK40" s="195"/>
      <c r="AL40" s="218"/>
      <c r="AM40" s="195"/>
      <c r="AN40" s="219"/>
      <c r="AO40" s="195"/>
      <c r="AP40" s="219"/>
      <c r="AQ40" s="195"/>
      <c r="AR40" s="219"/>
      <c r="AS40" s="195"/>
      <c r="AT40" s="220"/>
      <c r="AU40" s="195"/>
      <c r="AV40" s="220"/>
      <c r="AW40" s="195"/>
      <c r="AX40" s="220"/>
      <c r="AY40" s="195"/>
      <c r="AZ40" s="221"/>
      <c r="BA40" s="195"/>
      <c r="BB40" s="221"/>
      <c r="BC40" s="195"/>
      <c r="BD40" s="221"/>
      <c r="BE40" s="195"/>
      <c r="BF40" s="222"/>
      <c r="BG40" s="195"/>
      <c r="BH40" s="222"/>
      <c r="BI40" s="195"/>
      <c r="BJ40" s="222"/>
      <c r="BK40" s="195"/>
      <c r="BL40" s="223"/>
      <c r="BM40" s="195"/>
      <c r="BN40" s="223"/>
      <c r="BO40" s="195"/>
      <c r="BP40" s="223"/>
      <c r="BQ40" s="195"/>
      <c r="BR40" s="223"/>
      <c r="BS40" s="195"/>
      <c r="BT40" s="223"/>
      <c r="BU40" s="195"/>
      <c r="BV40" s="223"/>
      <c r="BW40" s="195"/>
      <c r="BX40" s="223"/>
      <c r="BY40" s="195"/>
      <c r="BZ40" s="223"/>
      <c r="CA40" s="195"/>
      <c r="CB40" s="224"/>
    </row>
    <row r="41" spans="1:80" x14ac:dyDescent="0.4">
      <c r="A41" s="184" t="str">
        <f>名簿!B41&amp;""</f>
        <v/>
      </c>
      <c r="B41" s="184" t="str">
        <f>名簿!C41&amp;""</f>
        <v/>
      </c>
      <c r="C41" s="184" t="str">
        <f>名簿!D41&amp;""</f>
        <v/>
      </c>
    </row>
    <row r="42" spans="1:80" x14ac:dyDescent="0.4">
      <c r="A42" s="184" t="str">
        <f>名簿!B42&amp;""</f>
        <v/>
      </c>
      <c r="B42" s="184" t="str">
        <f>名簿!C42&amp;""</f>
        <v/>
      </c>
      <c r="C42" s="184" t="str">
        <f>名簿!D42&amp;""</f>
        <v/>
      </c>
    </row>
    <row r="43" spans="1:80" x14ac:dyDescent="0.4">
      <c r="A43" s="184" t="str">
        <f>名簿!B43&amp;""</f>
        <v/>
      </c>
      <c r="B43" s="184" t="str">
        <f>名簿!C43&amp;""</f>
        <v/>
      </c>
      <c r="C43" s="184" t="str">
        <f>名簿!D43&amp;""</f>
        <v/>
      </c>
    </row>
    <row r="44" spans="1:80" x14ac:dyDescent="0.4">
      <c r="A44" s="184" t="str">
        <f>名簿!B44&amp;""</f>
        <v/>
      </c>
      <c r="B44" s="184" t="str">
        <f>名簿!C44&amp;""</f>
        <v/>
      </c>
      <c r="C44" s="184" t="str">
        <f>名簿!D44&amp;""</f>
        <v/>
      </c>
    </row>
    <row r="45" spans="1:80" x14ac:dyDescent="0.4">
      <c r="A45" s="184" t="str">
        <f>名簿!B45&amp;""</f>
        <v/>
      </c>
      <c r="B45" s="184" t="str">
        <f>名簿!C45&amp;""</f>
        <v/>
      </c>
      <c r="C45" s="184" t="str">
        <f>名簿!D45&amp;""</f>
        <v/>
      </c>
    </row>
    <row r="46" spans="1:80" x14ac:dyDescent="0.4">
      <c r="A46" s="184" t="str">
        <f>名簿!B46&amp;""</f>
        <v/>
      </c>
      <c r="B46" s="184" t="str">
        <f>名簿!C46&amp;""</f>
        <v/>
      </c>
      <c r="C46" s="184" t="str">
        <f>名簿!D46&amp;""</f>
        <v/>
      </c>
    </row>
    <row r="47" spans="1:80" x14ac:dyDescent="0.4">
      <c r="A47" s="184" t="str">
        <f>名簿!B47&amp;""</f>
        <v/>
      </c>
      <c r="B47" s="184" t="str">
        <f>名簿!C47&amp;""</f>
        <v/>
      </c>
      <c r="C47" s="184" t="str">
        <f>名簿!D47&amp;""</f>
        <v/>
      </c>
    </row>
    <row r="48" spans="1:80" x14ac:dyDescent="0.4">
      <c r="A48" s="184" t="str">
        <f>名簿!B48&amp;""</f>
        <v/>
      </c>
      <c r="B48" s="184" t="str">
        <f>名簿!C48&amp;""</f>
        <v/>
      </c>
      <c r="C48" s="184" t="str">
        <f>名簿!D48&amp;""</f>
        <v/>
      </c>
    </row>
    <row r="49" spans="1:3" x14ac:dyDescent="0.4">
      <c r="A49" s="184" t="str">
        <f>名簿!B49&amp;""</f>
        <v/>
      </c>
      <c r="B49" s="184" t="str">
        <f>名簿!C49&amp;""</f>
        <v/>
      </c>
      <c r="C49" s="184" t="str">
        <f>名簿!D49&amp;""</f>
        <v/>
      </c>
    </row>
    <row r="50" spans="1:3" x14ac:dyDescent="0.4">
      <c r="A50" s="184" t="str">
        <f>名簿!B50&amp;""</f>
        <v/>
      </c>
      <c r="B50" s="184" t="str">
        <f>名簿!C50&amp;""</f>
        <v/>
      </c>
      <c r="C50" s="184" t="str">
        <f>名簿!D50&amp;""</f>
        <v/>
      </c>
    </row>
  </sheetData>
  <sheetProtection algorithmName="SHA-512" hashValue="d4yo7rozk65LtW/GnT07HF7/V9AEdjZZFcDrybgLlEDOSm8PECeBJcLMvx8B0iRz4qDtYjXOtolDYq8cAdKi6w==" saltValue="CRyaKg4AJjxwnAWDpcA7Kg==" spinCount="100000" sheet="1" objects="1"/>
  <mergeCells count="3">
    <mergeCell ref="A8:A9"/>
    <mergeCell ref="B8:B9"/>
    <mergeCell ref="C8:C9"/>
  </mergeCells>
  <phoneticPr fontId="1"/>
  <pageMargins left="0.7" right="0.7" top="0.75" bottom="0.75" header="0.3" footer="0.3"/>
  <pageSetup paperSize="9" scale="24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H9" sqref="H9:H55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6" t="s">
        <v>14</v>
      </c>
      <c r="C1" s="249" t="s">
        <v>26</v>
      </c>
      <c r="D1" s="250"/>
      <c r="E1" s="250"/>
      <c r="F1" s="251"/>
      <c r="H1" s="249" t="s">
        <v>27</v>
      </c>
      <c r="I1" s="250"/>
      <c r="J1" s="250"/>
      <c r="K1" s="251"/>
      <c r="M1" s="60" t="s">
        <v>28</v>
      </c>
      <c r="N1" s="61" t="str">
        <f>IF(F14=K14,"有効","無効")</f>
        <v>有効</v>
      </c>
      <c r="O1" s="61"/>
      <c r="P1" s="61"/>
      <c r="Q1" s="62"/>
    </row>
    <row r="2" spans="1:21" x14ac:dyDescent="0.4">
      <c r="C2" s="5" t="s">
        <v>8</v>
      </c>
      <c r="D2" s="5">
        <f>F4</f>
        <v>0</v>
      </c>
      <c r="E2" s="4" t="s">
        <v>16</v>
      </c>
      <c r="F2" s="5">
        <f>MIN(F15:F54)</f>
        <v>0</v>
      </c>
      <c r="H2" s="5" t="s">
        <v>8</v>
      </c>
      <c r="I2" s="5">
        <f>K4</f>
        <v>0</v>
      </c>
      <c r="J2" s="4" t="s">
        <v>16</v>
      </c>
      <c r="K2" s="5">
        <f>MIN(K15:K54)</f>
        <v>0</v>
      </c>
      <c r="M2" s="55" t="s">
        <v>29</v>
      </c>
      <c r="N2">
        <f>_xlfn.COVARIANCE.P(F15:F54,K15:K54)</f>
        <v>0</v>
      </c>
      <c r="P2" s="63" t="s">
        <v>32</v>
      </c>
      <c r="Q2" s="54" t="e">
        <f>IF(N6&lt;0.05,"有意差あり","有意差なし")</f>
        <v>#DIV/0!</v>
      </c>
    </row>
    <row r="3" spans="1:21" ht="19.5" thickBot="1" x14ac:dyDescent="0.45">
      <c r="C3" s="2" t="s">
        <v>7</v>
      </c>
      <c r="D3" s="2">
        <f>AVERAGE(F15:F54)</f>
        <v>0</v>
      </c>
      <c r="E3" s="7" t="s">
        <v>18</v>
      </c>
      <c r="F3" s="2">
        <f>_xlfn.QUARTILE.EXC($F$15:$F$54,1)</f>
        <v>0</v>
      </c>
      <c r="H3" s="2" t="s">
        <v>7</v>
      </c>
      <c r="I3" s="2">
        <f>AVERAGE(K15:K54)</f>
        <v>0</v>
      </c>
      <c r="J3" s="7" t="s">
        <v>18</v>
      </c>
      <c r="K3" s="2">
        <f>_xlfn.QUARTILE.EXC($K$15:$K$54,1)</f>
        <v>0</v>
      </c>
      <c r="M3" s="55" t="s">
        <v>30</v>
      </c>
      <c r="N3" t="e">
        <f>N2/(D4*I4)</f>
        <v>#DIV/0!</v>
      </c>
      <c r="P3" s="57" t="s">
        <v>33</v>
      </c>
      <c r="Q3" s="59" t="e">
        <f>IF(N6&lt;0.01,"有意差あり","有意差なし")</f>
        <v>#DIV/0!</v>
      </c>
    </row>
    <row r="4" spans="1:21" x14ac:dyDescent="0.4">
      <c r="C4" s="2" t="s">
        <v>9</v>
      </c>
      <c r="D4" s="2">
        <f>_xlfn.STDEV.P(F15:F54)</f>
        <v>0</v>
      </c>
      <c r="E4" s="7" t="s">
        <v>19</v>
      </c>
      <c r="F4" s="2">
        <f>_xlfn.QUARTILE.EXC($F$15:$F$54,2)</f>
        <v>0</v>
      </c>
      <c r="H4" s="2" t="s">
        <v>9</v>
      </c>
      <c r="I4" s="2">
        <f>_xlfn.STDEV.P(K15:K54)</f>
        <v>0</v>
      </c>
      <c r="J4" s="7" t="s">
        <v>19</v>
      </c>
      <c r="K4" s="2">
        <f>_xlfn.QUARTILE.EXC($K$15:$K$54,2)</f>
        <v>0</v>
      </c>
      <c r="M4" s="55" t="s">
        <v>35</v>
      </c>
      <c r="N4">
        <f>COUNTA(B15:B54)-1</f>
        <v>39</v>
      </c>
      <c r="Q4" s="56"/>
    </row>
    <row r="5" spans="1:21" x14ac:dyDescent="0.4">
      <c r="C5" s="2" t="s">
        <v>11</v>
      </c>
      <c r="D5" s="2" t="e">
        <f>D4/D3</f>
        <v>#DIV/0!</v>
      </c>
      <c r="E5" s="7" t="s">
        <v>20</v>
      </c>
      <c r="F5" s="2">
        <f>_xlfn.QUARTILE.EXC($F$15:$F$54,3)</f>
        <v>0</v>
      </c>
      <c r="H5" s="2" t="s">
        <v>11</v>
      </c>
      <c r="I5" s="2" t="e">
        <f>I4/I3</f>
        <v>#DIV/0!</v>
      </c>
      <c r="J5" s="7" t="s">
        <v>20</v>
      </c>
      <c r="K5" s="2">
        <f>_xlfn.QUARTILE.EXC($K$15:$K$54,3)</f>
        <v>0</v>
      </c>
      <c r="M5" s="55" t="s">
        <v>36</v>
      </c>
      <c r="N5" t="e">
        <f>ABS(M56/SQRT(M55/COUNTA(B15:B54)))</f>
        <v>#DIV/0!</v>
      </c>
      <c r="Q5" s="56"/>
    </row>
    <row r="6" spans="1:21" ht="19.5" thickBot="1" x14ac:dyDescent="0.45">
      <c r="D6" s="9"/>
      <c r="E6" s="7" t="s">
        <v>15</v>
      </c>
      <c r="F6" s="2">
        <f>MAX($F$15:$F$54)</f>
        <v>0</v>
      </c>
      <c r="I6" s="8"/>
      <c r="J6" s="2" t="s">
        <v>15</v>
      </c>
      <c r="K6" s="2">
        <f>MAX($K$15:$K$54)</f>
        <v>0</v>
      </c>
      <c r="M6" s="57" t="s">
        <v>31</v>
      </c>
      <c r="N6" s="58" t="e">
        <f>_xlfn.T.TEST(F15:F54,K15:K54,2,1)</f>
        <v>#DIV/0!</v>
      </c>
      <c r="O6" s="58" t="e">
        <f>_xlfn.T.DIST.2T(N5,COUNTA(B15:B54)-1)</f>
        <v>#DIV/0!</v>
      </c>
      <c r="P6" s="58" t="s">
        <v>39</v>
      </c>
      <c r="Q6" s="59"/>
    </row>
    <row r="7" spans="1:21" ht="2.25" customHeight="1" x14ac:dyDescent="0.4"/>
    <row r="8" spans="1:21" ht="21" customHeight="1" x14ac:dyDescent="0.4">
      <c r="C8" s="247" t="s">
        <v>21</v>
      </c>
      <c r="D8" s="247"/>
      <c r="E8" s="247"/>
      <c r="F8" s="21" t="s">
        <v>22</v>
      </c>
      <c r="G8" s="34" t="s">
        <v>24</v>
      </c>
      <c r="H8" s="248" t="s">
        <v>25</v>
      </c>
      <c r="I8" s="248"/>
      <c r="J8" s="248"/>
      <c r="K8" s="38" t="s">
        <v>23</v>
      </c>
      <c r="L8" s="39" t="s">
        <v>24</v>
      </c>
    </row>
    <row r="9" spans="1:21" ht="21" customHeight="1" x14ac:dyDescent="0.4">
      <c r="B9" s="2" t="s">
        <v>17</v>
      </c>
      <c r="C9" s="10"/>
      <c r="D9" s="10"/>
      <c r="E9" s="18"/>
      <c r="F9" s="26"/>
      <c r="G9" s="21"/>
      <c r="H9" s="31"/>
      <c r="I9" s="12"/>
      <c r="J9" s="35"/>
      <c r="K9" s="38"/>
      <c r="L9" s="38"/>
    </row>
    <row r="10" spans="1:21" ht="21" customHeight="1" x14ac:dyDescent="0.4">
      <c r="B10" s="2" t="s">
        <v>4</v>
      </c>
      <c r="C10" s="14"/>
      <c r="D10" s="14"/>
      <c r="E10" s="19"/>
      <c r="F10" s="27"/>
      <c r="G10" s="23"/>
      <c r="H10" s="32"/>
      <c r="I10" s="15"/>
      <c r="J10" s="36"/>
      <c r="K10" s="41"/>
      <c r="L10" s="41"/>
      <c r="M10" s="1"/>
      <c r="N10" s="1"/>
      <c r="O10" s="1"/>
      <c r="P10" s="1"/>
      <c r="Q10" s="1"/>
      <c r="R10" s="1"/>
      <c r="S10" s="1"/>
      <c r="T10" s="1"/>
      <c r="U10" s="1"/>
    </row>
    <row r="11" spans="1:21" ht="21" customHeight="1" x14ac:dyDescent="0.4">
      <c r="B11" s="2" t="s">
        <v>0</v>
      </c>
      <c r="C11" s="10"/>
      <c r="D11" s="10"/>
      <c r="E11" s="18"/>
      <c r="F11" s="28"/>
      <c r="G11" s="24"/>
      <c r="H11" s="31"/>
      <c r="I11" s="12"/>
      <c r="J11" s="35"/>
      <c r="K11" s="42"/>
      <c r="L11" s="42"/>
    </row>
    <row r="12" spans="1:21" ht="21" customHeight="1" x14ac:dyDescent="0.4">
      <c r="B12" s="2" t="s">
        <v>1</v>
      </c>
      <c r="C12" s="16"/>
      <c r="D12" s="16"/>
      <c r="E12" s="20"/>
      <c r="F12" s="29"/>
      <c r="G12" s="25"/>
      <c r="H12" s="33"/>
      <c r="I12" s="17"/>
      <c r="J12" s="37"/>
      <c r="K12" s="43"/>
      <c r="L12" s="43"/>
    </row>
    <row r="13" spans="1:21" ht="21" customHeight="1" x14ac:dyDescent="0.4">
      <c r="B13" s="2" t="s">
        <v>2</v>
      </c>
      <c r="C13" s="10"/>
      <c r="D13" s="10"/>
      <c r="E13" s="18"/>
      <c r="F13" s="30"/>
      <c r="G13" s="22"/>
      <c r="H13" s="31"/>
      <c r="I13" s="12"/>
      <c r="J13" s="35"/>
      <c r="K13" s="40"/>
      <c r="L13" s="40"/>
    </row>
    <row r="14" spans="1:21" ht="19.5" thickBot="1" x14ac:dyDescent="0.45">
      <c r="B14" s="3" t="s">
        <v>3</v>
      </c>
      <c r="C14" s="34"/>
      <c r="D14" s="34"/>
      <c r="E14" s="34"/>
      <c r="F14" s="24">
        <f>E14+D14+C14</f>
        <v>0</v>
      </c>
      <c r="G14" s="21" t="e">
        <f t="shared" ref="G14:G54" si="0">ROUND((F14-$D$3)*10/$D$4+50,0)</f>
        <v>#DIV/0!</v>
      </c>
      <c r="H14" s="39"/>
      <c r="I14" s="39"/>
      <c r="J14" s="39"/>
      <c r="K14" s="42">
        <f>J14+I14+H14</f>
        <v>0</v>
      </c>
      <c r="L14" s="42" t="e">
        <f>ROUND((K14-$I$3)*10/$I$4+50,0)</f>
        <v>#DIV/0!</v>
      </c>
      <c r="M14" s="1" t="s">
        <v>37</v>
      </c>
      <c r="N14" s="1"/>
      <c r="O14" s="1"/>
      <c r="P14" s="1"/>
      <c r="Q14" s="1"/>
      <c r="R14" s="1"/>
      <c r="S14" s="1"/>
    </row>
    <row r="15" spans="1:21" x14ac:dyDescent="0.4">
      <c r="B15" s="44" t="str">
        <f>IF(名簿!C11="","",名簿!C11 &amp; 名簿!D11)</f>
        <v>田中雄介</v>
      </c>
      <c r="C15" s="45"/>
      <c r="D15" s="45"/>
      <c r="E15" s="45"/>
      <c r="F15" s="45">
        <f>E15+D15+C15</f>
        <v>0</v>
      </c>
      <c r="G15" s="45" t="e">
        <f t="shared" si="0"/>
        <v>#DIV/0!</v>
      </c>
      <c r="H15" s="46"/>
      <c r="I15" s="46"/>
      <c r="J15" s="46"/>
      <c r="K15" s="46">
        <f>J15+I15+H15</f>
        <v>0</v>
      </c>
      <c r="L15" s="47" t="e">
        <f t="shared" ref="L15:L54" si="1">ROUND((K15-$I$3)*10/$I$4+50,0)</f>
        <v>#DIV/0!</v>
      </c>
      <c r="M15">
        <f>F15-K15</f>
        <v>0</v>
      </c>
    </row>
    <row r="16" spans="1:21" x14ac:dyDescent="0.4">
      <c r="B16" s="48" t="str">
        <f>IF(名簿!C12="","",名簿!C12 &amp; 名簿!D12)</f>
        <v>佐藤凛</v>
      </c>
      <c r="C16" s="11"/>
      <c r="D16" s="11"/>
      <c r="E16" s="11"/>
      <c r="F16" s="11">
        <f t="shared" ref="F16:F54" si="2">E16+D16+C16</f>
        <v>0</v>
      </c>
      <c r="G16" s="11" t="e">
        <f t="shared" si="0"/>
        <v>#DIV/0!</v>
      </c>
      <c r="H16" s="13"/>
      <c r="I16" s="13"/>
      <c r="J16" s="13"/>
      <c r="K16" s="13">
        <f>J16+I16+H16</f>
        <v>0</v>
      </c>
      <c r="L16" s="49" t="e">
        <f t="shared" si="1"/>
        <v>#DIV/0!</v>
      </c>
      <c r="M16">
        <f t="shared" ref="M16:M54" si="3">F16-K16</f>
        <v>0</v>
      </c>
    </row>
    <row r="17" spans="2:13" x14ac:dyDescent="0.4">
      <c r="B17" s="48" t="str">
        <f>IF(名簿!C13="","",名簿!C13 &amp; 名簿!D13)</f>
        <v>鈴木誠</v>
      </c>
      <c r="C17" s="11"/>
      <c r="D17" s="11"/>
      <c r="E17" s="11"/>
      <c r="F17" s="11">
        <f t="shared" si="2"/>
        <v>0</v>
      </c>
      <c r="G17" s="11" t="e">
        <f t="shared" si="0"/>
        <v>#DIV/0!</v>
      </c>
      <c r="H17" s="13"/>
      <c r="I17" s="13"/>
      <c r="J17" s="13"/>
      <c r="K17" s="13">
        <f t="shared" ref="K17:K54" si="4">J17+I17+H17</f>
        <v>0</v>
      </c>
      <c r="L17" s="49" t="e">
        <f t="shared" si="1"/>
        <v>#DIV/0!</v>
      </c>
      <c r="M17">
        <f t="shared" si="3"/>
        <v>0</v>
      </c>
    </row>
    <row r="18" spans="2:13" x14ac:dyDescent="0.4">
      <c r="B18" s="48" t="str">
        <f>IF(名簿!C14="","",名簿!C14 &amp; 名簿!D14)</f>
        <v>高橋美優</v>
      </c>
      <c r="C18" s="11"/>
      <c r="D18" s="11"/>
      <c r="E18" s="11"/>
      <c r="F18" s="11">
        <f t="shared" si="2"/>
        <v>0</v>
      </c>
      <c r="G18" s="11" t="e">
        <f t="shared" si="0"/>
        <v>#DIV/0!</v>
      </c>
      <c r="H18" s="13"/>
      <c r="I18" s="13"/>
      <c r="J18" s="13"/>
      <c r="K18" s="13">
        <f t="shared" si="4"/>
        <v>0</v>
      </c>
      <c r="L18" s="49" t="e">
        <f t="shared" si="1"/>
        <v>#DIV/0!</v>
      </c>
      <c r="M18">
        <f t="shared" si="3"/>
        <v>0</v>
      </c>
    </row>
    <row r="19" spans="2:13" x14ac:dyDescent="0.4">
      <c r="B19" s="48" t="str">
        <f>IF(名簿!C15="","",名簿!C15 &amp; 名簿!D15)</f>
        <v>渡辺誠</v>
      </c>
      <c r="C19" s="11"/>
      <c r="D19" s="11"/>
      <c r="E19" s="11"/>
      <c r="F19" s="11">
        <f t="shared" si="2"/>
        <v>0</v>
      </c>
      <c r="G19" s="11" t="e">
        <f t="shared" si="0"/>
        <v>#DIV/0!</v>
      </c>
      <c r="H19" s="13"/>
      <c r="I19" s="13"/>
      <c r="J19" s="13"/>
      <c r="K19" s="13">
        <f t="shared" si="4"/>
        <v>0</v>
      </c>
      <c r="L19" s="49" t="e">
        <f t="shared" si="1"/>
        <v>#DIV/0!</v>
      </c>
      <c r="M19">
        <f t="shared" si="3"/>
        <v>0</v>
      </c>
    </row>
    <row r="20" spans="2:13" x14ac:dyDescent="0.4">
      <c r="B20" s="48" t="str">
        <f>IF(名簿!C16="","",名簿!C16 &amp; 名簿!D16)</f>
        <v>伊藤凛</v>
      </c>
      <c r="C20" s="11"/>
      <c r="D20" s="11"/>
      <c r="E20" s="11"/>
      <c r="F20" s="11">
        <f t="shared" si="2"/>
        <v>0</v>
      </c>
      <c r="G20" s="11" t="e">
        <f t="shared" si="0"/>
        <v>#DIV/0!</v>
      </c>
      <c r="H20" s="13"/>
      <c r="I20" s="13"/>
      <c r="J20" s="13"/>
      <c r="K20" s="13">
        <f t="shared" si="4"/>
        <v>0</v>
      </c>
      <c r="L20" s="49" t="e">
        <f t="shared" si="1"/>
        <v>#DIV/0!</v>
      </c>
      <c r="M20">
        <f t="shared" si="3"/>
        <v>0</v>
      </c>
    </row>
    <row r="21" spans="2:13" x14ac:dyDescent="0.4">
      <c r="B21" s="48" t="str">
        <f>IF(名簿!C17="","",名簿!C17 &amp; 名簿!D17)</f>
        <v>山本太郎</v>
      </c>
      <c r="C21" s="11"/>
      <c r="D21" s="11"/>
      <c r="E21" s="11"/>
      <c r="F21" s="11">
        <f t="shared" si="2"/>
        <v>0</v>
      </c>
      <c r="G21" s="11" t="e">
        <f t="shared" si="0"/>
        <v>#DIV/0!</v>
      </c>
      <c r="H21" s="13"/>
      <c r="I21" s="13"/>
      <c r="J21" s="13"/>
      <c r="K21" s="13">
        <f t="shared" si="4"/>
        <v>0</v>
      </c>
      <c r="L21" s="49" t="e">
        <f t="shared" si="1"/>
        <v>#DIV/0!</v>
      </c>
      <c r="M21">
        <f t="shared" si="3"/>
        <v>0</v>
      </c>
    </row>
    <row r="22" spans="2:13" x14ac:dyDescent="0.4">
      <c r="B22" s="48" t="str">
        <f>IF(名簿!C18="","",名簿!C18 &amp; 名簿!D18)</f>
        <v>中村真央</v>
      </c>
      <c r="C22" s="11"/>
      <c r="D22" s="11"/>
      <c r="E22" s="11"/>
      <c r="F22" s="11">
        <f t="shared" si="2"/>
        <v>0</v>
      </c>
      <c r="G22" s="11" t="e">
        <f t="shared" si="0"/>
        <v>#DIV/0!</v>
      </c>
      <c r="H22" s="13"/>
      <c r="I22" s="13"/>
      <c r="J22" s="13"/>
      <c r="K22" s="13">
        <f t="shared" si="4"/>
        <v>0</v>
      </c>
      <c r="L22" s="49" t="e">
        <f t="shared" si="1"/>
        <v>#DIV/0!</v>
      </c>
      <c r="M22">
        <f t="shared" si="3"/>
        <v>0</v>
      </c>
    </row>
    <row r="23" spans="2:13" x14ac:dyDescent="0.4">
      <c r="B23" s="48" t="str">
        <f>IF(名簿!C19="","",名簿!C19 &amp; 名簿!D19)</f>
        <v>小林浩</v>
      </c>
      <c r="C23" s="11"/>
      <c r="D23" s="11"/>
      <c r="E23" s="11"/>
      <c r="F23" s="11">
        <f t="shared" si="2"/>
        <v>0</v>
      </c>
      <c r="G23" s="11" t="e">
        <f t="shared" si="0"/>
        <v>#DIV/0!</v>
      </c>
      <c r="H23" s="13"/>
      <c r="I23" s="13"/>
      <c r="J23" s="13"/>
      <c r="K23" s="13">
        <f t="shared" si="4"/>
        <v>0</v>
      </c>
      <c r="L23" s="49" t="e">
        <f t="shared" si="1"/>
        <v>#DIV/0!</v>
      </c>
      <c r="M23">
        <f t="shared" si="3"/>
        <v>0</v>
      </c>
    </row>
    <row r="24" spans="2:13" x14ac:dyDescent="0.4">
      <c r="B24" s="48" t="str">
        <f>IF(名簿!C20="","",名簿!C20 &amp; 名簿!D20)</f>
        <v>加藤さくら</v>
      </c>
      <c r="C24" s="11"/>
      <c r="D24" s="11"/>
      <c r="E24" s="11"/>
      <c r="F24" s="11">
        <f t="shared" si="2"/>
        <v>0</v>
      </c>
      <c r="G24" s="11" t="e">
        <f t="shared" si="0"/>
        <v>#DIV/0!</v>
      </c>
      <c r="H24" s="13"/>
      <c r="I24" s="13"/>
      <c r="J24" s="13"/>
      <c r="K24" s="13">
        <f t="shared" si="4"/>
        <v>0</v>
      </c>
      <c r="L24" s="49" t="e">
        <f t="shared" si="1"/>
        <v>#DIV/0!</v>
      </c>
      <c r="M24">
        <f t="shared" si="3"/>
        <v>0</v>
      </c>
    </row>
    <row r="25" spans="2:13" x14ac:dyDescent="0.4">
      <c r="B25" s="48" t="str">
        <f>IF(名簿!C21="","",名簿!C21 &amp; 名簿!D21)</f>
        <v>吉田亮</v>
      </c>
      <c r="C25" s="11"/>
      <c r="D25" s="11"/>
      <c r="E25" s="11"/>
      <c r="F25" s="11">
        <f t="shared" si="2"/>
        <v>0</v>
      </c>
      <c r="G25" s="11" t="e">
        <f t="shared" si="0"/>
        <v>#DIV/0!</v>
      </c>
      <c r="H25" s="13"/>
      <c r="I25" s="13"/>
      <c r="J25" s="13"/>
      <c r="K25" s="13">
        <f t="shared" si="4"/>
        <v>0</v>
      </c>
      <c r="L25" s="49" t="e">
        <f t="shared" si="1"/>
        <v>#DIV/0!</v>
      </c>
      <c r="M25">
        <f t="shared" si="3"/>
        <v>0</v>
      </c>
    </row>
    <row r="26" spans="2:13" x14ac:dyDescent="0.4">
      <c r="B26" s="48" t="str">
        <f>IF(名簿!C22="","",名簿!C22 &amp; 名簿!D22)</f>
        <v>山田愛</v>
      </c>
      <c r="C26" s="11"/>
      <c r="D26" s="11"/>
      <c r="E26" s="11"/>
      <c r="F26" s="11">
        <f t="shared" si="2"/>
        <v>0</v>
      </c>
      <c r="G26" s="11" t="e">
        <f t="shared" si="0"/>
        <v>#DIV/0!</v>
      </c>
      <c r="H26" s="13"/>
      <c r="I26" s="13"/>
      <c r="J26" s="13"/>
      <c r="K26" s="13">
        <f t="shared" si="4"/>
        <v>0</v>
      </c>
      <c r="L26" s="49" t="e">
        <f t="shared" si="1"/>
        <v>#DIV/0!</v>
      </c>
      <c r="M26">
        <f t="shared" si="3"/>
        <v>0</v>
      </c>
    </row>
    <row r="27" spans="2:13" x14ac:dyDescent="0.4">
      <c r="B27" s="48" t="str">
        <f>IF(名簿!C23="","",名簿!C23 &amp; 名簿!D23)</f>
        <v>佐々木浩</v>
      </c>
      <c r="C27" s="11"/>
      <c r="D27" s="11"/>
      <c r="E27" s="11"/>
      <c r="F27" s="11">
        <f t="shared" si="2"/>
        <v>0</v>
      </c>
      <c r="G27" s="11" t="e">
        <f t="shared" si="0"/>
        <v>#DIV/0!</v>
      </c>
      <c r="H27" s="13"/>
      <c r="I27" s="13"/>
      <c r="J27" s="13"/>
      <c r="K27" s="13">
        <f t="shared" si="4"/>
        <v>0</v>
      </c>
      <c r="L27" s="49" t="e">
        <f t="shared" si="1"/>
        <v>#DIV/0!</v>
      </c>
      <c r="M27">
        <f t="shared" si="3"/>
        <v>0</v>
      </c>
    </row>
    <row r="28" spans="2:13" x14ac:dyDescent="0.4">
      <c r="B28" s="48" t="str">
        <f>IF(名簿!C24="","",名簿!C24 &amp; 名簿!D24)</f>
        <v>山口結衣</v>
      </c>
      <c r="C28" s="11"/>
      <c r="D28" s="11"/>
      <c r="E28" s="11"/>
      <c r="F28" s="11">
        <f t="shared" si="2"/>
        <v>0</v>
      </c>
      <c r="G28" s="11" t="e">
        <f t="shared" si="0"/>
        <v>#DIV/0!</v>
      </c>
      <c r="H28" s="13"/>
      <c r="I28" s="13"/>
      <c r="J28" s="13"/>
      <c r="K28" s="13">
        <f t="shared" si="4"/>
        <v>0</v>
      </c>
      <c r="L28" s="49" t="e">
        <f t="shared" si="1"/>
        <v>#DIV/0!</v>
      </c>
      <c r="M28">
        <f t="shared" si="3"/>
        <v>0</v>
      </c>
    </row>
    <row r="29" spans="2:13" x14ac:dyDescent="0.4">
      <c r="B29" s="48" t="str">
        <f>IF(名簿!C25="","",名簿!C25 &amp; 名簿!D25)</f>
        <v>松本浩</v>
      </c>
      <c r="C29" s="11"/>
      <c r="D29" s="11"/>
      <c r="E29" s="11"/>
      <c r="F29" s="11">
        <f t="shared" si="2"/>
        <v>0</v>
      </c>
      <c r="G29" s="11" t="e">
        <f t="shared" si="0"/>
        <v>#DIV/0!</v>
      </c>
      <c r="H29" s="13"/>
      <c r="I29" s="13"/>
      <c r="J29" s="13"/>
      <c r="K29" s="13">
        <f t="shared" si="4"/>
        <v>0</v>
      </c>
      <c r="L29" s="49" t="e">
        <f t="shared" si="1"/>
        <v>#DIV/0!</v>
      </c>
      <c r="M29">
        <f t="shared" si="3"/>
        <v>0</v>
      </c>
    </row>
    <row r="30" spans="2:13" x14ac:dyDescent="0.4">
      <c r="B30" s="48" t="str">
        <f>IF(名簿!C26="","",名簿!C26 &amp; 名簿!D26)</f>
        <v>井上結衣</v>
      </c>
      <c r="C30" s="11"/>
      <c r="D30" s="11"/>
      <c r="E30" s="11"/>
      <c r="F30" s="11">
        <f t="shared" si="2"/>
        <v>0</v>
      </c>
      <c r="G30" s="11" t="e">
        <f t="shared" si="0"/>
        <v>#DIV/0!</v>
      </c>
      <c r="H30" s="13"/>
      <c r="I30" s="13"/>
      <c r="J30" s="13"/>
      <c r="K30" s="13">
        <f t="shared" si="4"/>
        <v>0</v>
      </c>
      <c r="L30" s="49" t="e">
        <f t="shared" si="1"/>
        <v>#DIV/0!</v>
      </c>
      <c r="M30">
        <f t="shared" si="3"/>
        <v>0</v>
      </c>
    </row>
    <row r="31" spans="2:13" x14ac:dyDescent="0.4">
      <c r="B31" s="48" t="str">
        <f>IF(名簿!C27="","",名簿!C27 &amp; 名簿!D27)</f>
        <v>木村学</v>
      </c>
      <c r="C31" s="11"/>
      <c r="D31" s="11"/>
      <c r="E31" s="11"/>
      <c r="F31" s="11">
        <f t="shared" si="2"/>
        <v>0</v>
      </c>
      <c r="G31" s="11" t="e">
        <f t="shared" si="0"/>
        <v>#DIV/0!</v>
      </c>
      <c r="H31" s="13"/>
      <c r="I31" s="13"/>
      <c r="J31" s="13"/>
      <c r="K31" s="13">
        <f t="shared" si="4"/>
        <v>0</v>
      </c>
      <c r="L31" s="49" t="e">
        <f t="shared" si="1"/>
        <v>#DIV/0!</v>
      </c>
      <c r="M31">
        <f t="shared" si="3"/>
        <v>0</v>
      </c>
    </row>
    <row r="32" spans="2:13" x14ac:dyDescent="0.4">
      <c r="B32" s="48" t="str">
        <f>IF(名簿!C28="","",名簿!C28 &amp; 名簿!D28)</f>
        <v>林凛</v>
      </c>
      <c r="C32" s="11"/>
      <c r="D32" s="11"/>
      <c r="E32" s="11"/>
      <c r="F32" s="11">
        <f t="shared" si="2"/>
        <v>0</v>
      </c>
      <c r="G32" s="11" t="e">
        <f t="shared" si="0"/>
        <v>#DIV/0!</v>
      </c>
      <c r="H32" s="13"/>
      <c r="I32" s="13"/>
      <c r="J32" s="13"/>
      <c r="K32" s="13">
        <f t="shared" si="4"/>
        <v>0</v>
      </c>
      <c r="L32" s="49" t="e">
        <f t="shared" si="1"/>
        <v>#DIV/0!</v>
      </c>
      <c r="M32">
        <f t="shared" si="3"/>
        <v>0</v>
      </c>
    </row>
    <row r="33" spans="2:13" x14ac:dyDescent="0.4">
      <c r="B33" s="48" t="str">
        <f>IF(名簿!C29="","",名簿!C29 &amp; 名簿!D29)</f>
        <v>斎藤翔太</v>
      </c>
      <c r="C33" s="11"/>
      <c r="D33" s="11"/>
      <c r="E33" s="11"/>
      <c r="F33" s="11">
        <f t="shared" si="2"/>
        <v>0</v>
      </c>
      <c r="G33" s="11" t="e">
        <f t="shared" si="0"/>
        <v>#DIV/0!</v>
      </c>
      <c r="H33" s="13"/>
      <c r="I33" s="13"/>
      <c r="J33" s="13"/>
      <c r="K33" s="13">
        <f t="shared" si="4"/>
        <v>0</v>
      </c>
      <c r="L33" s="49" t="e">
        <f t="shared" si="1"/>
        <v>#DIV/0!</v>
      </c>
      <c r="M33">
        <f t="shared" si="3"/>
        <v>0</v>
      </c>
    </row>
    <row r="34" spans="2:13" x14ac:dyDescent="0.4">
      <c r="B34" s="48" t="str">
        <f>IF(名簿!C30="","",名簿!C30 &amp; 名簿!D30)</f>
        <v>清水結衣</v>
      </c>
      <c r="C34" s="11"/>
      <c r="D34" s="11"/>
      <c r="E34" s="11"/>
      <c r="F34" s="11">
        <f t="shared" si="2"/>
        <v>0</v>
      </c>
      <c r="G34" s="11" t="e">
        <f t="shared" si="0"/>
        <v>#DIV/0!</v>
      </c>
      <c r="H34" s="13"/>
      <c r="I34" s="13"/>
      <c r="J34" s="13"/>
      <c r="K34" s="13">
        <f t="shared" si="4"/>
        <v>0</v>
      </c>
      <c r="L34" s="49" t="e">
        <f t="shared" si="1"/>
        <v>#DIV/0!</v>
      </c>
      <c r="M34">
        <f t="shared" si="3"/>
        <v>0</v>
      </c>
    </row>
    <row r="35" spans="2:13" x14ac:dyDescent="0.4">
      <c r="B35" s="48" t="str">
        <f>IF(名簿!C31="","",名簿!C31 &amp; 名簿!D31)</f>
        <v>山崎一郎</v>
      </c>
      <c r="C35" s="11"/>
      <c r="D35" s="11"/>
      <c r="E35" s="11"/>
      <c r="F35" s="11">
        <f t="shared" si="2"/>
        <v>0</v>
      </c>
      <c r="G35" s="11" t="e">
        <f t="shared" si="0"/>
        <v>#DIV/0!</v>
      </c>
      <c r="H35" s="13"/>
      <c r="I35" s="13"/>
      <c r="J35" s="13"/>
      <c r="K35" s="13">
        <f t="shared" si="4"/>
        <v>0</v>
      </c>
      <c r="L35" s="49" t="e">
        <f t="shared" si="1"/>
        <v>#DIV/0!</v>
      </c>
      <c r="M35">
        <f>F35-K35</f>
        <v>0</v>
      </c>
    </row>
    <row r="36" spans="2:13" x14ac:dyDescent="0.4">
      <c r="B36" s="48" t="str">
        <f>IF(名簿!C32="","",名簿!C32 &amp; 名簿!D32)</f>
        <v>森凛</v>
      </c>
      <c r="C36" s="11"/>
      <c r="D36" s="11"/>
      <c r="E36" s="11"/>
      <c r="F36" s="11">
        <f t="shared" si="2"/>
        <v>0</v>
      </c>
      <c r="G36" s="11" t="e">
        <f t="shared" si="0"/>
        <v>#DIV/0!</v>
      </c>
      <c r="H36" s="13"/>
      <c r="I36" s="13"/>
      <c r="J36" s="13"/>
      <c r="K36" s="13">
        <f t="shared" si="4"/>
        <v>0</v>
      </c>
      <c r="L36" s="49" t="e">
        <f t="shared" si="1"/>
        <v>#DIV/0!</v>
      </c>
      <c r="M36">
        <f t="shared" si="3"/>
        <v>0</v>
      </c>
    </row>
    <row r="37" spans="2:13" x14ac:dyDescent="0.4">
      <c r="B37" s="48" t="str">
        <f>IF(名簿!C33="","",名簿!C33 &amp; 名簿!D33)</f>
        <v>池田直樹</v>
      </c>
      <c r="C37" s="11"/>
      <c r="D37" s="11"/>
      <c r="E37" s="11"/>
      <c r="F37" s="11">
        <f t="shared" si="2"/>
        <v>0</v>
      </c>
      <c r="G37" s="11" t="e">
        <f t="shared" si="0"/>
        <v>#DIV/0!</v>
      </c>
      <c r="H37" s="13"/>
      <c r="I37" s="13"/>
      <c r="J37" s="13"/>
      <c r="K37" s="13">
        <f t="shared" si="4"/>
        <v>0</v>
      </c>
      <c r="L37" s="49" t="e">
        <f t="shared" si="1"/>
        <v>#DIV/0!</v>
      </c>
      <c r="M37">
        <f t="shared" si="3"/>
        <v>0</v>
      </c>
    </row>
    <row r="38" spans="2:13" x14ac:dyDescent="0.4">
      <c r="B38" s="48" t="str">
        <f>IF(名簿!C34="","",名簿!C34 &amp; 名簿!D34)</f>
        <v>橋本愛</v>
      </c>
      <c r="C38" s="11"/>
      <c r="D38" s="11"/>
      <c r="E38" s="11"/>
      <c r="F38" s="11">
        <f t="shared" si="2"/>
        <v>0</v>
      </c>
      <c r="G38" s="11" t="e">
        <f t="shared" si="0"/>
        <v>#DIV/0!</v>
      </c>
      <c r="H38" s="13"/>
      <c r="I38" s="13"/>
      <c r="J38" s="13"/>
      <c r="K38" s="13">
        <f t="shared" si="4"/>
        <v>0</v>
      </c>
      <c r="L38" s="49" t="e">
        <f t="shared" si="1"/>
        <v>#DIV/0!</v>
      </c>
      <c r="M38">
        <f t="shared" si="3"/>
        <v>0</v>
      </c>
    </row>
    <row r="39" spans="2:13" x14ac:dyDescent="0.4">
      <c r="B39" s="48" t="str">
        <f>IF(名簿!C35="","",名簿!C35 &amp; 名簿!D35)</f>
        <v>阿部健太</v>
      </c>
      <c r="C39" s="11"/>
      <c r="D39" s="11"/>
      <c r="E39" s="11"/>
      <c r="F39" s="11">
        <f t="shared" si="2"/>
        <v>0</v>
      </c>
      <c r="G39" s="11" t="e">
        <f t="shared" si="0"/>
        <v>#DIV/0!</v>
      </c>
      <c r="H39" s="13"/>
      <c r="I39" s="13"/>
      <c r="J39" s="13"/>
      <c r="K39" s="13">
        <f t="shared" si="4"/>
        <v>0</v>
      </c>
      <c r="L39" s="49" t="e">
        <f t="shared" si="1"/>
        <v>#DIV/0!</v>
      </c>
      <c r="M39">
        <f t="shared" si="3"/>
        <v>0</v>
      </c>
    </row>
    <row r="40" spans="2:13" x14ac:dyDescent="0.4">
      <c r="B40" s="48" t="str">
        <f>IF(名簿!C36="","",名簿!C36 &amp; 名簿!D36)</f>
        <v>石川陽菜</v>
      </c>
      <c r="C40" s="11"/>
      <c r="D40" s="11"/>
      <c r="E40" s="11"/>
      <c r="F40" s="11">
        <f t="shared" si="2"/>
        <v>0</v>
      </c>
      <c r="G40" s="11" t="e">
        <f t="shared" si="0"/>
        <v>#DIV/0!</v>
      </c>
      <c r="H40" s="13"/>
      <c r="I40" s="13"/>
      <c r="J40" s="13"/>
      <c r="K40" s="13">
        <f t="shared" si="4"/>
        <v>0</v>
      </c>
      <c r="L40" s="49" t="e">
        <f t="shared" si="1"/>
        <v>#DIV/0!</v>
      </c>
      <c r="M40">
        <f t="shared" si="3"/>
        <v>0</v>
      </c>
    </row>
    <row r="41" spans="2:13" x14ac:dyDescent="0.4">
      <c r="B41" s="48" t="str">
        <f>IF(名簿!C37="","",名簿!C37 &amp; 名簿!D37)</f>
        <v>山下学</v>
      </c>
      <c r="C41" s="11"/>
      <c r="D41" s="11"/>
      <c r="E41" s="11"/>
      <c r="F41" s="11">
        <f>E41+D41+C41</f>
        <v>0</v>
      </c>
      <c r="G41" s="11" t="e">
        <f t="shared" si="0"/>
        <v>#DIV/0!</v>
      </c>
      <c r="H41" s="13"/>
      <c r="I41" s="13"/>
      <c r="J41" s="13"/>
      <c r="K41" s="13">
        <f t="shared" si="4"/>
        <v>0</v>
      </c>
      <c r="L41" s="49" t="e">
        <f t="shared" si="1"/>
        <v>#DIV/0!</v>
      </c>
      <c r="M41">
        <f t="shared" si="3"/>
        <v>0</v>
      </c>
    </row>
    <row r="42" spans="2:13" x14ac:dyDescent="0.4">
      <c r="B42" s="48" t="str">
        <f>IF(名簿!C38="","",名簿!C38 &amp; 名簿!D38)</f>
        <v>中島凛</v>
      </c>
      <c r="C42" s="11"/>
      <c r="D42" s="11"/>
      <c r="E42" s="11"/>
      <c r="F42" s="11">
        <f>E42+D42+C42</f>
        <v>0</v>
      </c>
      <c r="G42" s="11" t="e">
        <f t="shared" ref="G42:G51" si="5">ROUND((F42-$D$3)*10/$D$4+50,0)</f>
        <v>#DIV/0!</v>
      </c>
      <c r="H42" s="13"/>
      <c r="I42" s="13"/>
      <c r="J42" s="13"/>
      <c r="K42" s="13">
        <f t="shared" si="4"/>
        <v>0</v>
      </c>
      <c r="L42" s="49" t="e">
        <f t="shared" si="1"/>
        <v>#DIV/0!</v>
      </c>
      <c r="M42">
        <f t="shared" si="3"/>
        <v>0</v>
      </c>
    </row>
    <row r="43" spans="2:13" x14ac:dyDescent="0.4">
      <c r="B43" s="48" t="str">
        <f>IF(名簿!C39="","",名簿!C39 &amp; 名簿!D39)</f>
        <v>石井健太</v>
      </c>
      <c r="C43" s="11"/>
      <c r="D43" s="11"/>
      <c r="E43" s="11"/>
      <c r="F43" s="11">
        <f>E43+D43+C43</f>
        <v>0</v>
      </c>
      <c r="G43" s="11" t="e">
        <f t="shared" si="5"/>
        <v>#DIV/0!</v>
      </c>
      <c r="H43" s="13"/>
      <c r="I43" s="13"/>
      <c r="J43" s="13"/>
      <c r="K43" s="13">
        <f t="shared" si="4"/>
        <v>0</v>
      </c>
      <c r="L43" s="49" t="e">
        <f t="shared" si="1"/>
        <v>#DIV/0!</v>
      </c>
      <c r="M43">
        <f t="shared" si="3"/>
        <v>0</v>
      </c>
    </row>
    <row r="44" spans="2:13" x14ac:dyDescent="0.4">
      <c r="B44" s="48" t="str">
        <f>IF(名簿!C40="","",名簿!C40 &amp; 名簿!D40)</f>
        <v>小川楓</v>
      </c>
      <c r="C44" s="11"/>
      <c r="D44" s="11"/>
      <c r="E44" s="11"/>
      <c r="F44" s="11">
        <f>E44+D44+C44</f>
        <v>0</v>
      </c>
      <c r="G44" s="11" t="e">
        <f t="shared" si="5"/>
        <v>#DIV/0!</v>
      </c>
      <c r="H44" s="13"/>
      <c r="I44" s="13"/>
      <c r="J44" s="13"/>
      <c r="K44" s="13">
        <f t="shared" si="4"/>
        <v>0</v>
      </c>
      <c r="L44" s="49" t="e">
        <f t="shared" si="1"/>
        <v>#DIV/0!</v>
      </c>
      <c r="M44">
        <f t="shared" si="3"/>
        <v>0</v>
      </c>
    </row>
    <row r="45" spans="2:13" x14ac:dyDescent="0.4">
      <c r="B45" s="48" t="str">
        <f>IF(名簿!C41="","",名簿!C41 &amp; 名簿!D41)</f>
        <v/>
      </c>
      <c r="C45" s="11"/>
      <c r="D45" s="11"/>
      <c r="E45" s="11"/>
      <c r="F45" s="11">
        <f t="shared" si="2"/>
        <v>0</v>
      </c>
      <c r="G45" s="11" t="e">
        <f t="shared" si="5"/>
        <v>#DIV/0!</v>
      </c>
      <c r="H45" s="13"/>
      <c r="I45" s="13"/>
      <c r="J45" s="13"/>
      <c r="K45" s="13">
        <f t="shared" si="4"/>
        <v>0</v>
      </c>
      <c r="L45" s="49" t="e">
        <f t="shared" si="1"/>
        <v>#DIV/0!</v>
      </c>
      <c r="M45">
        <f t="shared" si="3"/>
        <v>0</v>
      </c>
    </row>
    <row r="46" spans="2:13" x14ac:dyDescent="0.4">
      <c r="B46" s="48" t="str">
        <f>IF(名簿!C42="","",名簿!C42 &amp; 名簿!D42)</f>
        <v/>
      </c>
      <c r="C46" s="11"/>
      <c r="D46" s="11"/>
      <c r="E46" s="11"/>
      <c r="F46" s="11">
        <f t="shared" si="2"/>
        <v>0</v>
      </c>
      <c r="G46" s="11" t="e">
        <f t="shared" si="5"/>
        <v>#DIV/0!</v>
      </c>
      <c r="H46" s="13"/>
      <c r="I46" s="13"/>
      <c r="J46" s="13"/>
      <c r="K46" s="13">
        <f t="shared" si="4"/>
        <v>0</v>
      </c>
      <c r="L46" s="49" t="e">
        <f t="shared" si="1"/>
        <v>#DIV/0!</v>
      </c>
      <c r="M46">
        <f t="shared" si="3"/>
        <v>0</v>
      </c>
    </row>
    <row r="47" spans="2:13" x14ac:dyDescent="0.4">
      <c r="B47" s="48" t="str">
        <f>IF(名簿!C43="","",名簿!C43 &amp; 名簿!D43)</f>
        <v/>
      </c>
      <c r="C47" s="11"/>
      <c r="D47" s="11"/>
      <c r="E47" s="11"/>
      <c r="F47" s="11">
        <f t="shared" si="2"/>
        <v>0</v>
      </c>
      <c r="G47" s="11" t="e">
        <f t="shared" si="5"/>
        <v>#DIV/0!</v>
      </c>
      <c r="H47" s="13"/>
      <c r="I47" s="13"/>
      <c r="J47" s="13"/>
      <c r="K47" s="13">
        <f t="shared" si="4"/>
        <v>0</v>
      </c>
      <c r="L47" s="49" t="e">
        <f t="shared" si="1"/>
        <v>#DIV/0!</v>
      </c>
      <c r="M47">
        <f t="shared" si="3"/>
        <v>0</v>
      </c>
    </row>
    <row r="48" spans="2:13" x14ac:dyDescent="0.4">
      <c r="B48" s="48" t="str">
        <f>IF(名簿!C44="","",名簿!C44 &amp; 名簿!D44)</f>
        <v/>
      </c>
      <c r="C48" s="11"/>
      <c r="D48" s="11"/>
      <c r="E48" s="11"/>
      <c r="F48" s="11">
        <f t="shared" si="2"/>
        <v>0</v>
      </c>
      <c r="G48" s="11" t="e">
        <f t="shared" si="5"/>
        <v>#DIV/0!</v>
      </c>
      <c r="H48" s="13"/>
      <c r="I48" s="13"/>
      <c r="J48" s="13"/>
      <c r="K48" s="13">
        <f t="shared" si="4"/>
        <v>0</v>
      </c>
      <c r="L48" s="49" t="e">
        <f t="shared" si="1"/>
        <v>#DIV/0!</v>
      </c>
      <c r="M48">
        <f t="shared" si="3"/>
        <v>0</v>
      </c>
    </row>
    <row r="49" spans="2:13" x14ac:dyDescent="0.4">
      <c r="B49" s="48" t="str">
        <f>IF(名簿!C45="","",名簿!C45 &amp; 名簿!D45)</f>
        <v/>
      </c>
      <c r="C49" s="11"/>
      <c r="D49" s="11"/>
      <c r="E49" s="11"/>
      <c r="F49" s="11">
        <f t="shared" si="2"/>
        <v>0</v>
      </c>
      <c r="G49" s="11" t="e">
        <f t="shared" si="5"/>
        <v>#DIV/0!</v>
      </c>
      <c r="H49" s="13"/>
      <c r="I49" s="13"/>
      <c r="J49" s="13"/>
      <c r="K49" s="13">
        <f t="shared" si="4"/>
        <v>0</v>
      </c>
      <c r="L49" s="49" t="e">
        <f t="shared" si="1"/>
        <v>#DIV/0!</v>
      </c>
      <c r="M49">
        <f t="shared" si="3"/>
        <v>0</v>
      </c>
    </row>
    <row r="50" spans="2:13" x14ac:dyDescent="0.4">
      <c r="B50" s="48" t="str">
        <f>IF(名簿!C46="","",名簿!C46 &amp; 名簿!D46)</f>
        <v/>
      </c>
      <c r="C50" s="11"/>
      <c r="D50" s="11"/>
      <c r="E50" s="11"/>
      <c r="F50" s="11">
        <f t="shared" si="2"/>
        <v>0</v>
      </c>
      <c r="G50" s="11" t="e">
        <f t="shared" si="5"/>
        <v>#DIV/0!</v>
      </c>
      <c r="H50" s="13"/>
      <c r="I50" s="13"/>
      <c r="J50" s="13"/>
      <c r="K50" s="13">
        <f t="shared" si="4"/>
        <v>0</v>
      </c>
      <c r="L50" s="49" t="e">
        <f t="shared" si="1"/>
        <v>#DIV/0!</v>
      </c>
      <c r="M50">
        <f t="shared" si="3"/>
        <v>0</v>
      </c>
    </row>
    <row r="51" spans="2:13" x14ac:dyDescent="0.4">
      <c r="B51" s="48" t="str">
        <f>IF(名簿!C47="","",名簿!C47 &amp; 名簿!D47)</f>
        <v/>
      </c>
      <c r="C51" s="11"/>
      <c r="D51" s="11"/>
      <c r="E51" s="11"/>
      <c r="F51" s="11">
        <f t="shared" si="2"/>
        <v>0</v>
      </c>
      <c r="G51" s="11" t="e">
        <f t="shared" si="5"/>
        <v>#DIV/0!</v>
      </c>
      <c r="H51" s="13"/>
      <c r="I51" s="13"/>
      <c r="J51" s="13"/>
      <c r="K51" s="13">
        <f t="shared" si="4"/>
        <v>0</v>
      </c>
      <c r="L51" s="49" t="e">
        <f t="shared" si="1"/>
        <v>#DIV/0!</v>
      </c>
      <c r="M51">
        <f t="shared" si="3"/>
        <v>0</v>
      </c>
    </row>
    <row r="52" spans="2:13" x14ac:dyDescent="0.4">
      <c r="B52" s="48" t="str">
        <f>IF(名簿!C48="","",名簿!C48 &amp; 名簿!D48)</f>
        <v/>
      </c>
      <c r="C52" s="11"/>
      <c r="D52" s="11"/>
      <c r="E52" s="11"/>
      <c r="F52" s="11">
        <f t="shared" si="2"/>
        <v>0</v>
      </c>
      <c r="G52" s="11" t="e">
        <f t="shared" si="0"/>
        <v>#DIV/0!</v>
      </c>
      <c r="H52" s="13"/>
      <c r="I52" s="13"/>
      <c r="J52" s="13"/>
      <c r="K52" s="13">
        <f t="shared" si="4"/>
        <v>0</v>
      </c>
      <c r="L52" s="49" t="e">
        <f t="shared" si="1"/>
        <v>#DIV/0!</v>
      </c>
      <c r="M52">
        <f t="shared" si="3"/>
        <v>0</v>
      </c>
    </row>
    <row r="53" spans="2:13" x14ac:dyDescent="0.4">
      <c r="B53" s="48" t="str">
        <f>IF(名簿!C49="","",名簿!C49 &amp; 名簿!D49)</f>
        <v/>
      </c>
      <c r="C53" s="11"/>
      <c r="D53" s="11"/>
      <c r="E53" s="11"/>
      <c r="F53" s="11">
        <f t="shared" si="2"/>
        <v>0</v>
      </c>
      <c r="G53" s="11" t="e">
        <f t="shared" si="0"/>
        <v>#DIV/0!</v>
      </c>
      <c r="H53" s="13"/>
      <c r="I53" s="13"/>
      <c r="J53" s="13"/>
      <c r="K53" s="13">
        <f t="shared" si="4"/>
        <v>0</v>
      </c>
      <c r="L53" s="49" t="e">
        <f t="shared" si="1"/>
        <v>#DIV/0!</v>
      </c>
      <c r="M53">
        <f t="shared" si="3"/>
        <v>0</v>
      </c>
    </row>
    <row r="54" spans="2:13" ht="19.5" thickBot="1" x14ac:dyDescent="0.45">
      <c r="B54" s="50" t="str">
        <f>IF(名簿!C50="","",名簿!C50 &amp; 名簿!D50)</f>
        <v/>
      </c>
      <c r="C54" s="51"/>
      <c r="D54" s="51"/>
      <c r="E54" s="51"/>
      <c r="F54" s="51">
        <f t="shared" si="2"/>
        <v>0</v>
      </c>
      <c r="G54" s="51" t="e">
        <f t="shared" si="0"/>
        <v>#DIV/0!</v>
      </c>
      <c r="H54" s="52"/>
      <c r="I54" s="52"/>
      <c r="J54" s="52"/>
      <c r="K54" s="52">
        <f t="shared" si="4"/>
        <v>0</v>
      </c>
      <c r="L54" s="53" t="e">
        <f t="shared" si="1"/>
        <v>#DIV/0!</v>
      </c>
      <c r="M54">
        <f t="shared" si="3"/>
        <v>0</v>
      </c>
    </row>
    <row r="55" spans="2:13" x14ac:dyDescent="0.4">
      <c r="L55" t="s">
        <v>34</v>
      </c>
      <c r="M55">
        <f>_xlfn.VAR.P(M15:M54)</f>
        <v>0</v>
      </c>
    </row>
    <row r="56" spans="2:13" x14ac:dyDescent="0.4">
      <c r="L56" t="s">
        <v>38</v>
      </c>
      <c r="M56">
        <f>AVERAGE(M15:M54)</f>
        <v>0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sh_individual.ShowAnalysisForm">
                <anchor moveWithCells="1" sizeWithCells="1">
                  <from>
                    <xdr:col>0</xdr:col>
                    <xdr:colOff>19050</xdr:colOff>
                    <xdr:row>1</xdr:row>
                    <xdr:rowOff>0</xdr:rowOff>
                  </from>
                  <to>
                    <xdr:col>1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H1" sqref="H1"/>
    </sheetView>
  </sheetViews>
  <sheetFormatPr defaultColWidth="9" defaultRowHeight="18.75" x14ac:dyDescent="0.4"/>
  <cols>
    <col min="1" max="2" width="9" style="110"/>
    <col min="3" max="3" width="10.125" style="110" customWidth="1"/>
    <col min="4" max="4" width="25.875" style="110" customWidth="1"/>
    <col min="5" max="16384" width="9" style="110"/>
  </cols>
  <sheetData>
    <row r="1" spans="1:9" ht="61.5" customHeight="1" x14ac:dyDescent="0.4"/>
    <row r="2" spans="1:9" s="182" customFormat="1" x14ac:dyDescent="0.4">
      <c r="A2" s="182" t="s">
        <v>10</v>
      </c>
      <c r="B2" s="182" t="s">
        <v>0</v>
      </c>
      <c r="C2" s="182" t="s">
        <v>12</v>
      </c>
      <c r="D2" s="182" t="s">
        <v>2</v>
      </c>
      <c r="E2" s="182" t="s">
        <v>5</v>
      </c>
      <c r="F2" s="182" t="s">
        <v>60</v>
      </c>
      <c r="H2" s="182" t="s">
        <v>41</v>
      </c>
      <c r="I2" s="182" t="s">
        <v>42</v>
      </c>
    </row>
    <row r="3" spans="1:9" x14ac:dyDescent="0.4">
      <c r="A3" s="257" t="s">
        <v>179</v>
      </c>
      <c r="B3" s="257" t="s">
        <v>180</v>
      </c>
      <c r="C3" s="258">
        <v>3</v>
      </c>
      <c r="D3" s="151" t="s">
        <v>124</v>
      </c>
      <c r="E3" s="151" t="s">
        <v>127</v>
      </c>
      <c r="F3" s="151" t="s">
        <v>62</v>
      </c>
      <c r="H3" s="151">
        <v>90</v>
      </c>
      <c r="I3" s="151">
        <v>70</v>
      </c>
    </row>
    <row r="4" spans="1:9" x14ac:dyDescent="0.4">
      <c r="A4" s="257" t="s">
        <v>184</v>
      </c>
      <c r="B4" s="257" t="s">
        <v>185</v>
      </c>
      <c r="C4" s="258">
        <v>0</v>
      </c>
      <c r="D4" s="151" t="s">
        <v>125</v>
      </c>
      <c r="F4" s="152" t="s">
        <v>115</v>
      </c>
      <c r="H4" s="151">
        <v>95</v>
      </c>
      <c r="I4" s="151">
        <v>75</v>
      </c>
    </row>
    <row r="5" spans="1:9" x14ac:dyDescent="0.4">
      <c r="A5" s="257" t="s">
        <v>186</v>
      </c>
      <c r="B5" s="257" t="s">
        <v>83</v>
      </c>
      <c r="C5" s="258">
        <v>3</v>
      </c>
      <c r="D5" s="151" t="s">
        <v>126</v>
      </c>
      <c r="F5" s="151"/>
      <c r="H5" s="151">
        <v>85</v>
      </c>
      <c r="I5" s="151">
        <v>65</v>
      </c>
    </row>
    <row r="6" spans="1:9" x14ac:dyDescent="0.4">
      <c r="A6" s="257" t="s">
        <v>187</v>
      </c>
      <c r="B6" s="257" t="s">
        <v>188</v>
      </c>
      <c r="C6" s="258">
        <v>0</v>
      </c>
      <c r="D6" s="151"/>
      <c r="F6" s="151"/>
      <c r="H6" s="151"/>
      <c r="I6" s="151"/>
    </row>
    <row r="7" spans="1:9" x14ac:dyDescent="0.4">
      <c r="A7" s="257" t="s">
        <v>189</v>
      </c>
      <c r="B7" s="257" t="s">
        <v>190</v>
      </c>
      <c r="C7" s="258">
        <v>5</v>
      </c>
      <c r="D7" s="151"/>
      <c r="F7" s="151"/>
      <c r="H7" s="151"/>
      <c r="I7" s="151"/>
    </row>
    <row r="8" spans="1:9" x14ac:dyDescent="0.4">
      <c r="A8" s="257" t="s">
        <v>191</v>
      </c>
      <c r="B8" s="257" t="s">
        <v>192</v>
      </c>
      <c r="C8" s="258">
        <v>0</v>
      </c>
      <c r="D8" s="151"/>
      <c r="F8" s="151"/>
      <c r="H8" s="151"/>
      <c r="I8" s="151"/>
    </row>
    <row r="9" spans="1:9" x14ac:dyDescent="0.4">
      <c r="A9" s="257" t="s">
        <v>193</v>
      </c>
      <c r="B9" s="257" t="s">
        <v>194</v>
      </c>
      <c r="C9" s="258">
        <v>2</v>
      </c>
      <c r="D9" s="151"/>
      <c r="F9" s="151"/>
      <c r="H9" s="151"/>
      <c r="I9" s="151"/>
    </row>
    <row r="10" spans="1:9" x14ac:dyDescent="0.4">
      <c r="A10" s="257" t="s">
        <v>195</v>
      </c>
      <c r="B10" s="257" t="s">
        <v>196</v>
      </c>
      <c r="C10" s="258">
        <v>0</v>
      </c>
      <c r="D10" s="151"/>
      <c r="F10" s="151"/>
      <c r="H10" s="151"/>
      <c r="I10" s="151"/>
    </row>
    <row r="11" spans="1:9" x14ac:dyDescent="0.4">
      <c r="A11" s="257" t="s">
        <v>197</v>
      </c>
      <c r="B11" s="257" t="s">
        <v>86</v>
      </c>
      <c r="C11" s="258">
        <v>0</v>
      </c>
      <c r="D11" s="151"/>
      <c r="F11" s="151"/>
      <c r="H11" s="151"/>
      <c r="I11" s="151"/>
    </row>
    <row r="12" spans="1:9" x14ac:dyDescent="0.4">
      <c r="A12" s="257" t="s">
        <v>198</v>
      </c>
      <c r="B12" s="257" t="s">
        <v>199</v>
      </c>
      <c r="C12" s="258">
        <v>0</v>
      </c>
      <c r="D12" s="151"/>
      <c r="F12" s="151"/>
      <c r="H12" s="151"/>
      <c r="I12" s="151"/>
    </row>
    <row r="13" spans="1:9" x14ac:dyDescent="0.4">
      <c r="A13" s="257" t="s">
        <v>200</v>
      </c>
      <c r="B13" s="257" t="s">
        <v>123</v>
      </c>
      <c r="C13" s="258">
        <v>0</v>
      </c>
      <c r="D13" s="151"/>
      <c r="F13" s="151"/>
      <c r="H13" s="151"/>
      <c r="I13" s="151"/>
    </row>
    <row r="14" spans="1:9" x14ac:dyDescent="0.4">
      <c r="A14" s="257" t="s">
        <v>201</v>
      </c>
      <c r="B14" s="257" t="s">
        <v>202</v>
      </c>
      <c r="C14" s="258">
        <v>0</v>
      </c>
      <c r="D14" s="151"/>
      <c r="F14" s="151"/>
      <c r="H14" s="151"/>
      <c r="I14" s="151"/>
    </row>
    <row r="15" spans="1:9" x14ac:dyDescent="0.4">
      <c r="A15" s="257" t="s">
        <v>203</v>
      </c>
      <c r="B15" s="257" t="s">
        <v>204</v>
      </c>
      <c r="C15" s="258">
        <v>0</v>
      </c>
      <c r="D15" s="151"/>
      <c r="F15" s="151"/>
      <c r="H15" s="151"/>
      <c r="I15" s="151"/>
    </row>
    <row r="16" spans="1:9" x14ac:dyDescent="0.4">
      <c r="A16" s="257"/>
      <c r="B16" s="257"/>
      <c r="C16" s="258"/>
      <c r="D16" s="151"/>
      <c r="F16" s="151"/>
      <c r="H16" s="151"/>
      <c r="I16" s="151"/>
    </row>
    <row r="17" spans="1:9" x14ac:dyDescent="0.4">
      <c r="A17" s="258"/>
      <c r="B17" s="258"/>
      <c r="C17" s="258"/>
      <c r="H17" s="151"/>
      <c r="I17" s="151"/>
    </row>
    <row r="18" spans="1:9" x14ac:dyDescent="0.4">
      <c r="A18" s="258"/>
      <c r="B18" s="258"/>
      <c r="C18" s="258"/>
      <c r="H18" s="151"/>
      <c r="I18" s="151"/>
    </row>
    <row r="19" spans="1:9" x14ac:dyDescent="0.4">
      <c r="A19" s="258"/>
      <c r="B19" s="258"/>
      <c r="C19" s="258"/>
      <c r="H19" s="151"/>
      <c r="I19" s="151"/>
    </row>
    <row r="20" spans="1:9" x14ac:dyDescent="0.4">
      <c r="A20" s="258"/>
      <c r="B20" s="258"/>
      <c r="C20" s="258"/>
      <c r="H20" s="151"/>
      <c r="I20" s="151"/>
    </row>
    <row r="21" spans="1:9" x14ac:dyDescent="0.4">
      <c r="H21" s="151"/>
      <c r="I21" s="151"/>
    </row>
    <row r="22" spans="1:9" x14ac:dyDescent="0.4">
      <c r="H22" s="151"/>
      <c r="I22" s="151"/>
    </row>
    <row r="23" spans="1:9" x14ac:dyDescent="0.4">
      <c r="H23" s="151"/>
      <c r="I23" s="151"/>
    </row>
    <row r="24" spans="1:9" x14ac:dyDescent="0.4">
      <c r="H24" s="151"/>
      <c r="I24" s="151"/>
    </row>
    <row r="25" spans="1:9" x14ac:dyDescent="0.4">
      <c r="H25" s="151"/>
      <c r="I25" s="151"/>
    </row>
    <row r="26" spans="1:9" x14ac:dyDescent="0.4">
      <c r="H26" s="151"/>
      <c r="I26" s="151"/>
    </row>
    <row r="27" spans="1:9" x14ac:dyDescent="0.4">
      <c r="H27" s="151"/>
      <c r="I27" s="151"/>
    </row>
    <row r="28" spans="1:9" x14ac:dyDescent="0.4">
      <c r="H28" s="151"/>
      <c r="I28" s="151"/>
    </row>
    <row r="29" spans="1:9" x14ac:dyDescent="0.4">
      <c r="H29" s="151"/>
      <c r="I29" s="151"/>
    </row>
    <row r="30" spans="1:9" x14ac:dyDescent="0.4">
      <c r="H30" s="151"/>
      <c r="I30" s="151"/>
    </row>
    <row r="31" spans="1:9" x14ac:dyDescent="0.4">
      <c r="H31" s="151"/>
      <c r="I31" s="151"/>
    </row>
    <row r="32" spans="1:9" x14ac:dyDescent="0.4">
      <c r="H32" s="151"/>
      <c r="I32" s="151"/>
    </row>
  </sheetData>
  <sheetProtection algorithmName="SHA-512" hashValue="FjBOIWr8ophtszALsUGXH7eW3cJCfySTh0ayYaIJ8eiaJi3pCUp5XV9qsnMNGzToz3wYNhTnsYuEX6yNlLI9yQ==" saltValue="lw8ypSV7ToFn5Md63d6MUQ==" spinCount="100000" sheet="1" objects="1"/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>
    <tabColor rgb="FFFFC000"/>
  </sheetPr>
  <dimension ref="A1:J3"/>
  <sheetViews>
    <sheetView workbookViewId="0">
      <selection activeCell="G17" sqref="G17"/>
    </sheetView>
  </sheetViews>
  <sheetFormatPr defaultRowHeight="18.75" x14ac:dyDescent="0.4"/>
  <cols>
    <col min="7" max="7" width="41.5" customWidth="1"/>
  </cols>
  <sheetData>
    <row r="1" spans="1:10" ht="33" x14ac:dyDescent="0.4">
      <c r="A1" s="132" t="s">
        <v>90</v>
      </c>
      <c r="B1" s="131"/>
      <c r="C1" s="131"/>
      <c r="D1" s="131"/>
      <c r="E1" s="131"/>
      <c r="F1" s="131"/>
      <c r="G1" s="131"/>
    </row>
    <row r="2" spans="1:10" ht="24" customHeight="1" x14ac:dyDescent="0.4">
      <c r="A2" t="s">
        <v>119</v>
      </c>
    </row>
    <row r="3" spans="1:10" x14ac:dyDescent="0.4">
      <c r="A3" s="133" t="s">
        <v>69</v>
      </c>
      <c r="B3" s="133" t="s">
        <v>0</v>
      </c>
      <c r="C3" s="133" t="s">
        <v>76</v>
      </c>
      <c r="D3" s="133" t="s">
        <v>2</v>
      </c>
      <c r="E3" s="133" t="s">
        <v>91</v>
      </c>
      <c r="F3" s="133" t="s">
        <v>92</v>
      </c>
      <c r="G3" s="133" t="s">
        <v>76</v>
      </c>
      <c r="H3" s="134"/>
      <c r="I3" s="134"/>
      <c r="J3" s="134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6</xdr:col>
                    <xdr:colOff>2143125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I21" sqref="I21"/>
    </sheetView>
  </sheetViews>
  <sheetFormatPr defaultColWidth="9" defaultRowHeight="16.5" x14ac:dyDescent="0.4"/>
  <cols>
    <col min="1" max="1" width="12.625" style="74" customWidth="1"/>
    <col min="2" max="3" width="8.625" style="74" customWidth="1"/>
    <col min="4" max="4" width="10.625" style="74" customWidth="1"/>
    <col min="5" max="5" width="12.625" style="74" customWidth="1"/>
    <col min="6" max="6" width="9" style="74"/>
    <col min="7" max="7" width="10.375" style="74" customWidth="1"/>
    <col min="8" max="16384" width="9" style="74"/>
  </cols>
  <sheetData>
    <row r="1" spans="1:8" ht="24" x14ac:dyDescent="0.4">
      <c r="A1" s="87" t="s">
        <v>93</v>
      </c>
      <c r="B1" s="75"/>
      <c r="C1" s="75"/>
      <c r="D1" s="75"/>
      <c r="E1" s="75"/>
      <c r="F1" s="75"/>
      <c r="G1" s="75"/>
      <c r="H1" s="75"/>
    </row>
    <row r="2" spans="1:8" ht="57" customHeight="1" x14ac:dyDescent="0.4"/>
    <row r="3" spans="1:8" x14ac:dyDescent="0.4">
      <c r="A3" s="97" t="s">
        <v>94</v>
      </c>
      <c r="B3" s="88"/>
      <c r="D3" s="97" t="s">
        <v>3</v>
      </c>
      <c r="G3" s="89" t="s">
        <v>102</v>
      </c>
      <c r="H3" s="98"/>
    </row>
    <row r="4" spans="1:8" x14ac:dyDescent="0.4">
      <c r="A4" s="97" t="s">
        <v>0</v>
      </c>
      <c r="B4" s="88"/>
      <c r="D4" s="97" t="s">
        <v>100</v>
      </c>
      <c r="G4" s="89" t="s">
        <v>103</v>
      </c>
      <c r="H4" s="98"/>
    </row>
    <row r="5" spans="1:8" x14ac:dyDescent="0.4">
      <c r="A5" s="97" t="s">
        <v>76</v>
      </c>
      <c r="B5" s="88"/>
      <c r="D5" s="97" t="s">
        <v>95</v>
      </c>
    </row>
    <row r="6" spans="1:8" x14ac:dyDescent="0.4">
      <c r="A6" s="97" t="s">
        <v>2</v>
      </c>
      <c r="B6" s="88"/>
      <c r="D6" s="97" t="str">
        <f>IF(E5="内分点","内分比","")</f>
        <v/>
      </c>
    </row>
    <row r="7" spans="1:8" x14ac:dyDescent="0.4">
      <c r="A7" s="97" t="s">
        <v>61</v>
      </c>
      <c r="B7" s="88"/>
      <c r="D7" s="97" t="s">
        <v>91</v>
      </c>
      <c r="E7" s="74" t="s">
        <v>96</v>
      </c>
    </row>
    <row r="10" spans="1:8" s="96" customFormat="1" x14ac:dyDescent="0.4">
      <c r="A10" s="77" t="s">
        <v>69</v>
      </c>
      <c r="B10" s="77" t="s">
        <v>70</v>
      </c>
      <c r="C10" s="77" t="s">
        <v>71</v>
      </c>
      <c r="D10" s="77" t="s">
        <v>97</v>
      </c>
      <c r="E10" s="77" t="s">
        <v>98</v>
      </c>
      <c r="F10" s="77" t="s">
        <v>99</v>
      </c>
      <c r="G10" s="77" t="s">
        <v>101</v>
      </c>
      <c r="H10" s="77"/>
    </row>
    <row r="11" spans="1:8" x14ac:dyDescent="0.4">
      <c r="G11" s="74" t="str">
        <f>IF($E$4="","",IF(F11&gt;=$E$4,"合格",""))</f>
        <v/>
      </c>
    </row>
    <row r="12" spans="1:8" x14ac:dyDescent="0.4">
      <c r="G12" s="74" t="str">
        <f t="shared" ref="G12:G40" si="0">IF($E$4="","",IF(F12&gt;=$E$4,"合格",""))</f>
        <v/>
      </c>
    </row>
    <row r="13" spans="1:8" x14ac:dyDescent="0.4">
      <c r="G13" s="74" t="str">
        <f t="shared" si="0"/>
        <v/>
      </c>
    </row>
    <row r="14" spans="1:8" x14ac:dyDescent="0.4">
      <c r="G14" s="74" t="str">
        <f t="shared" si="0"/>
        <v/>
      </c>
    </row>
    <row r="15" spans="1:8" x14ac:dyDescent="0.4">
      <c r="G15" s="74" t="str">
        <f t="shared" si="0"/>
        <v/>
      </c>
    </row>
    <row r="16" spans="1:8" x14ac:dyDescent="0.4">
      <c r="G16" s="74" t="str">
        <f t="shared" si="0"/>
        <v/>
      </c>
    </row>
    <row r="17" spans="7:7" x14ac:dyDescent="0.4">
      <c r="G17" s="74" t="str">
        <f t="shared" si="0"/>
        <v/>
      </c>
    </row>
    <row r="18" spans="7:7" x14ac:dyDescent="0.4">
      <c r="G18" s="74" t="str">
        <f t="shared" si="0"/>
        <v/>
      </c>
    </row>
    <row r="19" spans="7:7" x14ac:dyDescent="0.4">
      <c r="G19" s="74" t="str">
        <f t="shared" si="0"/>
        <v/>
      </c>
    </row>
    <row r="20" spans="7:7" x14ac:dyDescent="0.4">
      <c r="G20" s="74" t="str">
        <f t="shared" si="0"/>
        <v/>
      </c>
    </row>
    <row r="21" spans="7:7" x14ac:dyDescent="0.4">
      <c r="G21" s="74" t="str">
        <f t="shared" si="0"/>
        <v/>
      </c>
    </row>
    <row r="22" spans="7:7" x14ac:dyDescent="0.4">
      <c r="G22" s="74" t="str">
        <f t="shared" si="0"/>
        <v/>
      </c>
    </row>
    <row r="23" spans="7:7" x14ac:dyDescent="0.4">
      <c r="G23" s="74" t="str">
        <f t="shared" si="0"/>
        <v/>
      </c>
    </row>
    <row r="24" spans="7:7" x14ac:dyDescent="0.4">
      <c r="G24" s="74" t="str">
        <f t="shared" si="0"/>
        <v/>
      </c>
    </row>
    <row r="25" spans="7:7" x14ac:dyDescent="0.4">
      <c r="G25" s="74" t="str">
        <f t="shared" si="0"/>
        <v/>
      </c>
    </row>
    <row r="26" spans="7:7" x14ac:dyDescent="0.4">
      <c r="G26" s="74" t="str">
        <f t="shared" si="0"/>
        <v/>
      </c>
    </row>
    <row r="27" spans="7:7" x14ac:dyDescent="0.4">
      <c r="G27" s="74" t="str">
        <f t="shared" si="0"/>
        <v/>
      </c>
    </row>
    <row r="28" spans="7:7" x14ac:dyDescent="0.4">
      <c r="G28" s="74" t="str">
        <f t="shared" si="0"/>
        <v/>
      </c>
    </row>
    <row r="29" spans="7:7" x14ac:dyDescent="0.4">
      <c r="G29" s="74" t="str">
        <f t="shared" si="0"/>
        <v/>
      </c>
    </row>
    <row r="30" spans="7:7" x14ac:dyDescent="0.4">
      <c r="G30" s="74" t="str">
        <f t="shared" si="0"/>
        <v/>
      </c>
    </row>
    <row r="31" spans="7:7" x14ac:dyDescent="0.4">
      <c r="G31" s="74" t="str">
        <f t="shared" si="0"/>
        <v/>
      </c>
    </row>
    <row r="32" spans="7:7" x14ac:dyDescent="0.4">
      <c r="G32" s="74" t="str">
        <f t="shared" si="0"/>
        <v/>
      </c>
    </row>
    <row r="33" spans="7:7" x14ac:dyDescent="0.4">
      <c r="G33" s="74" t="str">
        <f t="shared" si="0"/>
        <v/>
      </c>
    </row>
    <row r="34" spans="7:7" x14ac:dyDescent="0.4">
      <c r="G34" s="74" t="str">
        <f t="shared" si="0"/>
        <v/>
      </c>
    </row>
    <row r="35" spans="7:7" x14ac:dyDescent="0.4">
      <c r="G35" s="74" t="str">
        <f t="shared" si="0"/>
        <v/>
      </c>
    </row>
    <row r="36" spans="7:7" x14ac:dyDescent="0.4">
      <c r="G36" s="74" t="str">
        <f t="shared" si="0"/>
        <v/>
      </c>
    </row>
    <row r="37" spans="7:7" x14ac:dyDescent="0.4">
      <c r="G37" s="74" t="str">
        <f t="shared" si="0"/>
        <v/>
      </c>
    </row>
    <row r="38" spans="7:7" x14ac:dyDescent="0.4">
      <c r="G38" s="74" t="str">
        <f t="shared" si="0"/>
        <v/>
      </c>
    </row>
    <row r="39" spans="7:7" x14ac:dyDescent="0.4">
      <c r="G39" s="74" t="str">
        <f t="shared" si="0"/>
        <v/>
      </c>
    </row>
    <row r="40" spans="7:7" x14ac:dyDescent="0.4">
      <c r="G40" s="74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MENU</vt:lpstr>
      <vt:lpstr>名簿</vt:lpstr>
      <vt:lpstr>テスト入力</vt:lpstr>
      <vt:lpstr>データ</vt:lpstr>
      <vt:lpstr>Subject</vt:lpstr>
      <vt:lpstr>Result</vt:lpstr>
      <vt:lpstr>比較分析</vt:lpstr>
      <vt:lpstr>Setting</vt:lpstr>
      <vt:lpstr>Subject!Print_Area</vt:lpstr>
      <vt:lpstr>Result!Print_Titles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2026-03-25T14:07:42Z</dcterms:modified>
</cp:coreProperties>
</file>