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hak\Documents\VBA\GradeProcessing\"/>
    </mc:Choice>
  </mc:AlternateContent>
  <xr:revisionPtr revIDLastSave="0" documentId="13_ncr:1_{3514A8F5-10FD-4B96-89D3-429C68D4835F}" xr6:coauthVersionLast="47" xr6:coauthVersionMax="47" xr10:uidLastSave="{00000000-0000-0000-0000-000000000000}"/>
  <bookViews>
    <workbookView xWindow="-108" yWindow="-108" windowWidth="23256" windowHeight="13896" tabRatio="816" activeTab="2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比較分析" sheetId="7" r:id="rId7"/>
    <sheet name="Setting" sheetId="3" r:id="rId8"/>
    <sheet name="追試管理メニュー" sheetId="11" state="veryHidden" r:id="rId9"/>
    <sheet name="追試管理シート" sheetId="12" state="veryHidden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比較分析!$F$15:$F$54</definedName>
    <definedName name="_xlchart.v1.1" hidden="1">比較分析!$K$15:$K$54</definedName>
    <definedName name="_xlchart.v1.2" hidden="1">比較分析!$C$15:$C$54</definedName>
    <definedName name="_xlchart.v1.3" hidden="1">比較分析!$D$15:$D$54</definedName>
    <definedName name="_xlchart.v1.4" hidden="1">比較分析!$E$15:$E$54</definedName>
    <definedName name="_xlchart.v1.5" hidden="1">比較分析!$H$15:$H$54</definedName>
    <definedName name="_xlchart.v1.6" hidden="1">比較分析!$I$15:$I$54</definedName>
    <definedName name="_xlchart.v1.7" hidden="1">比較分析!$J$14:$J$54</definedName>
    <definedName name="_xlnm.Print_Area" localSheetId="4">Subject!$A$1:$J$48</definedName>
    <definedName name="_xlnm.Print_Titles" localSheetId="5">Result!$A:$C,Result!$8:$10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I3" i="1"/>
  <c r="H3" i="1"/>
  <c r="O52" i="6"/>
  <c r="M52" i="6"/>
  <c r="N52" i="6"/>
  <c r="R52" i="6" s="1"/>
  <c r="L52" i="6"/>
  <c r="Q52" i="6" s="1"/>
  <c r="O51" i="6"/>
  <c r="M51" i="6"/>
  <c r="N51" i="6"/>
  <c r="R51" i="6" s="1"/>
  <c r="L51" i="6"/>
  <c r="Q51" i="6" s="1"/>
  <c r="O50" i="6"/>
  <c r="M50" i="6"/>
  <c r="N50" i="6"/>
  <c r="R50" i="6" s="1"/>
  <c r="L50" i="6"/>
  <c r="Q50" i="6" s="1"/>
  <c r="O49" i="6"/>
  <c r="M49" i="6"/>
  <c r="N49" i="6"/>
  <c r="R49" i="6" s="1"/>
  <c r="L49" i="6"/>
  <c r="Q49" i="6" s="1"/>
  <c r="O48" i="6"/>
  <c r="M48" i="6"/>
  <c r="N48" i="6"/>
  <c r="R48" i="6" s="1"/>
  <c r="L48" i="6"/>
  <c r="Q48" i="6" s="1"/>
  <c r="O47" i="6"/>
  <c r="M47" i="6"/>
  <c r="N47" i="6"/>
  <c r="R47" i="6" s="1"/>
  <c r="L47" i="6"/>
  <c r="Q47" i="6" s="1"/>
  <c r="R46" i="6"/>
  <c r="Q46" i="6"/>
  <c r="O46" i="6"/>
  <c r="M46" i="6"/>
  <c r="N46" i="6"/>
  <c r="L46" i="6"/>
  <c r="O45" i="6"/>
  <c r="M45" i="6"/>
  <c r="N45" i="6"/>
  <c r="R45" i="6" s="1"/>
  <c r="L45" i="6"/>
  <c r="Q45" i="6" s="1"/>
  <c r="O44" i="6"/>
  <c r="M44" i="6"/>
  <c r="N44" i="6"/>
  <c r="R44" i="6" s="1"/>
  <c r="L44" i="6"/>
  <c r="Q44" i="6" s="1"/>
  <c r="O43" i="6"/>
  <c r="M43" i="6"/>
  <c r="N43" i="6"/>
  <c r="R43" i="6" s="1"/>
  <c r="L43" i="6"/>
  <c r="Q43" i="6" s="1"/>
  <c r="O42" i="6"/>
  <c r="M42" i="6"/>
  <c r="N42" i="6"/>
  <c r="R42" i="6" s="1"/>
  <c r="L42" i="6"/>
  <c r="Q42" i="6" s="1"/>
  <c r="O41" i="6"/>
  <c r="M41" i="6"/>
  <c r="N41" i="6"/>
  <c r="R41" i="6" s="1"/>
  <c r="L41" i="6"/>
  <c r="Q41" i="6" s="1"/>
  <c r="O40" i="6"/>
  <c r="M40" i="6"/>
  <c r="N40" i="6"/>
  <c r="R40" i="6" s="1"/>
  <c r="L40" i="6"/>
  <c r="Q40" i="6" s="1"/>
  <c r="O39" i="6"/>
  <c r="M39" i="6"/>
  <c r="N39" i="6"/>
  <c r="R39" i="6" s="1"/>
  <c r="L39" i="6"/>
  <c r="Q39" i="6" s="1"/>
  <c r="O38" i="6"/>
  <c r="M38" i="6"/>
  <c r="N38" i="6"/>
  <c r="R38" i="6" s="1"/>
  <c r="L38" i="6"/>
  <c r="Q38" i="6" s="1"/>
  <c r="O37" i="6"/>
  <c r="M37" i="6"/>
  <c r="N37" i="6"/>
  <c r="R37" i="6" s="1"/>
  <c r="L37" i="6"/>
  <c r="Q37" i="6" s="1"/>
  <c r="O36" i="6"/>
  <c r="M36" i="6"/>
  <c r="N36" i="6"/>
  <c r="R36" i="6" s="1"/>
  <c r="L36" i="6"/>
  <c r="Q36" i="6" s="1"/>
  <c r="O35" i="6"/>
  <c r="M35" i="6"/>
  <c r="N35" i="6"/>
  <c r="R35" i="6" s="1"/>
  <c r="L35" i="6"/>
  <c r="Q35" i="6" s="1"/>
  <c r="O34" i="6"/>
  <c r="M34" i="6"/>
  <c r="N34" i="6"/>
  <c r="R34" i="6" s="1"/>
  <c r="L34" i="6"/>
  <c r="Q34" i="6" s="1"/>
  <c r="O33" i="6"/>
  <c r="M33" i="6"/>
  <c r="N33" i="6"/>
  <c r="R33" i="6" s="1"/>
  <c r="L33" i="6"/>
  <c r="Q33" i="6" s="1"/>
  <c r="O32" i="6"/>
  <c r="M32" i="6"/>
  <c r="N32" i="6"/>
  <c r="R32" i="6" s="1"/>
  <c r="L32" i="6"/>
  <c r="Q32" i="6" s="1"/>
  <c r="O31" i="6"/>
  <c r="R31" i="6" s="1"/>
  <c r="M31" i="6"/>
  <c r="Q31" i="6" s="1"/>
  <c r="N31" i="6"/>
  <c r="L31" i="6"/>
  <c r="O30" i="6"/>
  <c r="M30" i="6"/>
  <c r="N30" i="6"/>
  <c r="R30" i="6" s="1"/>
  <c r="L30" i="6"/>
  <c r="Q30" i="6" s="1"/>
  <c r="O29" i="6"/>
  <c r="M29" i="6"/>
  <c r="N29" i="6"/>
  <c r="R29" i="6" s="1"/>
  <c r="L29" i="6"/>
  <c r="Q29" i="6" s="1"/>
  <c r="O28" i="6"/>
  <c r="M28" i="6"/>
  <c r="N28" i="6"/>
  <c r="R28" i="6" s="1"/>
  <c r="L28" i="6"/>
  <c r="Q28" i="6" s="1"/>
  <c r="O27" i="6"/>
  <c r="M27" i="6"/>
  <c r="N27" i="6"/>
  <c r="R27" i="6" s="1"/>
  <c r="L27" i="6"/>
  <c r="Q27" i="6" s="1"/>
  <c r="O26" i="6"/>
  <c r="M26" i="6"/>
  <c r="N26" i="6"/>
  <c r="R26" i="6" s="1"/>
  <c r="L26" i="6"/>
  <c r="Q26" i="6" s="1"/>
  <c r="O25" i="6"/>
  <c r="M25" i="6"/>
  <c r="N25" i="6"/>
  <c r="R25" i="6" s="1"/>
  <c r="L25" i="6"/>
  <c r="Q25" i="6" s="1"/>
  <c r="O24" i="6"/>
  <c r="M24" i="6"/>
  <c r="N24" i="6"/>
  <c r="R24" i="6" s="1"/>
  <c r="L24" i="6"/>
  <c r="Q24" i="6" s="1"/>
  <c r="O23" i="6"/>
  <c r="M23" i="6"/>
  <c r="N23" i="6"/>
  <c r="R23" i="6" s="1"/>
  <c r="L23" i="6"/>
  <c r="Q23" i="6" s="1"/>
  <c r="L11" i="6"/>
  <c r="J21" i="6"/>
  <c r="J22" i="6" s="1"/>
  <c r="J20" i="6"/>
  <c r="J19" i="6"/>
  <c r="J17" i="6"/>
  <c r="I21" i="6"/>
  <c r="I22" i="6" s="1"/>
  <c r="I20" i="6"/>
  <c r="I19" i="6"/>
  <c r="I17" i="6"/>
  <c r="H21" i="6"/>
  <c r="H22" i="6" s="1"/>
  <c r="H20" i="6"/>
  <c r="H19" i="6"/>
  <c r="H17" i="6"/>
  <c r="G21" i="6"/>
  <c r="G22" i="6" s="1"/>
  <c r="G20" i="6"/>
  <c r="G19" i="6"/>
  <c r="G17" i="6"/>
  <c r="F21" i="6"/>
  <c r="F22" i="6" s="1"/>
  <c r="F20" i="6"/>
  <c r="F19" i="6"/>
  <c r="F17" i="6"/>
  <c r="E21" i="6"/>
  <c r="E22" i="6" s="1"/>
  <c r="E20" i="6"/>
  <c r="E19" i="6"/>
  <c r="E17" i="6"/>
  <c r="D21" i="6"/>
  <c r="D22" i="6" s="1"/>
  <c r="D20" i="6"/>
  <c r="D19" i="6"/>
  <c r="D17" i="6"/>
  <c r="L17" i="6" s="1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15" i="7"/>
  <c r="M35" i="7"/>
  <c r="G45" i="7"/>
  <c r="G51" i="7"/>
  <c r="G50" i="7"/>
  <c r="G49" i="7"/>
  <c r="G48" i="7"/>
  <c r="G47" i="7"/>
  <c r="G46" i="7"/>
  <c r="G44" i="7"/>
  <c r="G43" i="7"/>
  <c r="G42" i="7"/>
  <c r="F44" i="7"/>
  <c r="F43" i="7"/>
  <c r="F42" i="7"/>
  <c r="F41" i="7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A12" i="8"/>
  <c r="B12" i="8"/>
  <c r="C12" i="8"/>
  <c r="A13" i="8"/>
  <c r="B13" i="8"/>
  <c r="C13" i="8"/>
  <c r="A14" i="8"/>
  <c r="B14" i="8"/>
  <c r="C14" i="8"/>
  <c r="A15" i="8"/>
  <c r="B15" i="8"/>
  <c r="C15" i="8"/>
  <c r="A16" i="8"/>
  <c r="B16" i="8"/>
  <c r="C16" i="8"/>
  <c r="A17" i="8"/>
  <c r="B17" i="8"/>
  <c r="C17" i="8"/>
  <c r="A18" i="8"/>
  <c r="B18" i="8"/>
  <c r="C18" i="8"/>
  <c r="A19" i="8"/>
  <c r="B19" i="8"/>
  <c r="C19" i="8"/>
  <c r="A20" i="8"/>
  <c r="B20" i="8"/>
  <c r="C20" i="8"/>
  <c r="A21" i="8"/>
  <c r="B21" i="8"/>
  <c r="C21" i="8"/>
  <c r="A22" i="8"/>
  <c r="B22" i="8"/>
  <c r="C22" i="8"/>
  <c r="A23" i="8"/>
  <c r="B23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46" i="8"/>
  <c r="B46" i="8"/>
  <c r="C46" i="8"/>
  <c r="A47" i="8"/>
  <c r="B47" i="8"/>
  <c r="C47" i="8"/>
  <c r="A48" i="8"/>
  <c r="B48" i="8"/>
  <c r="C48" i="8"/>
  <c r="A49" i="8"/>
  <c r="B49" i="8"/>
  <c r="C49" i="8"/>
  <c r="A50" i="8"/>
  <c r="B50" i="8"/>
  <c r="C50" i="8"/>
  <c r="B11" i="8"/>
  <c r="C11" i="8"/>
  <c r="A11" i="8"/>
  <c r="A23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C23" i="6"/>
  <c r="B23" i="6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B23" i="10"/>
  <c r="C23" i="10"/>
  <c r="A23" i="10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C31" i="9"/>
  <c r="B31" i="9"/>
  <c r="F8" i="4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M54" i="7"/>
  <c r="K54" i="7"/>
  <c r="F54" i="7"/>
  <c r="M53" i="7"/>
  <c r="K53" i="7"/>
  <c r="F53" i="7"/>
  <c r="M52" i="7"/>
  <c r="K52" i="7"/>
  <c r="F52" i="7"/>
  <c r="M51" i="7"/>
  <c r="K51" i="7"/>
  <c r="F51" i="7"/>
  <c r="M50" i="7"/>
  <c r="K50" i="7"/>
  <c r="F50" i="7"/>
  <c r="M49" i="7"/>
  <c r="K49" i="7"/>
  <c r="F49" i="7"/>
  <c r="M48" i="7"/>
  <c r="K48" i="7"/>
  <c r="F48" i="7"/>
  <c r="M47" i="7"/>
  <c r="K47" i="7"/>
  <c r="F47" i="7"/>
  <c r="M46" i="7"/>
  <c r="K46" i="7"/>
  <c r="F46" i="7"/>
  <c r="M45" i="7"/>
  <c r="K45" i="7"/>
  <c r="F45" i="7"/>
  <c r="K44" i="7"/>
  <c r="K43" i="7"/>
  <c r="K42" i="7"/>
  <c r="K41" i="7"/>
  <c r="K40" i="7"/>
  <c r="F40" i="7"/>
  <c r="M40" i="7" s="1"/>
  <c r="K39" i="7"/>
  <c r="F39" i="7"/>
  <c r="K38" i="7"/>
  <c r="F38" i="7"/>
  <c r="K37" i="7"/>
  <c r="F37" i="7"/>
  <c r="K36" i="7"/>
  <c r="F36" i="7"/>
  <c r="K35" i="7"/>
  <c r="F35" i="7"/>
  <c r="K34" i="7"/>
  <c r="F34" i="7"/>
  <c r="K33" i="7"/>
  <c r="F33" i="7"/>
  <c r="K32" i="7"/>
  <c r="F32" i="7"/>
  <c r="K31" i="7"/>
  <c r="F31" i="7"/>
  <c r="K30" i="7"/>
  <c r="F30" i="7"/>
  <c r="M30" i="7" s="1"/>
  <c r="K29" i="7"/>
  <c r="F29" i="7"/>
  <c r="K28" i="7"/>
  <c r="F28" i="7"/>
  <c r="M28" i="7" s="1"/>
  <c r="K27" i="7"/>
  <c r="F27" i="7"/>
  <c r="M27" i="7" s="1"/>
  <c r="K26" i="7"/>
  <c r="F26" i="7"/>
  <c r="K25" i="7"/>
  <c r="F25" i="7"/>
  <c r="K24" i="7"/>
  <c r="F24" i="7"/>
  <c r="K23" i="7"/>
  <c r="F23" i="7"/>
  <c r="K22" i="7"/>
  <c r="F22" i="7"/>
  <c r="K21" i="7"/>
  <c r="F21" i="7"/>
  <c r="K20" i="7"/>
  <c r="F20" i="7"/>
  <c r="K19" i="7"/>
  <c r="F19" i="7"/>
  <c r="K18" i="7"/>
  <c r="F18" i="7"/>
  <c r="K17" i="7"/>
  <c r="F17" i="7"/>
  <c r="K16" i="7"/>
  <c r="F16" i="7"/>
  <c r="K15" i="7"/>
  <c r="F15" i="7"/>
  <c r="K14" i="7"/>
  <c r="F14" i="7"/>
  <c r="G24" i="9" a="1"/>
  <c r="G24" i="9" s="1"/>
  <c r="F24" i="9" a="1"/>
  <c r="F24" i="9" s="1"/>
  <c r="E24" i="9" a="1"/>
  <c r="E24" i="9" s="1"/>
  <c r="N16" i="9"/>
  <c r="N14" i="9"/>
  <c r="N12" i="9"/>
  <c r="D24" i="9" a="1"/>
  <c r="W52" i="6" l="1"/>
  <c r="U52" i="6"/>
  <c r="V52" i="6"/>
  <c r="V51" i="6"/>
  <c r="W51" i="6"/>
  <c r="U51" i="6"/>
  <c r="U50" i="6"/>
  <c r="V50" i="6"/>
  <c r="W50" i="6"/>
  <c r="V49" i="6"/>
  <c r="U49" i="6"/>
  <c r="W49" i="6"/>
  <c r="V48" i="6"/>
  <c r="U48" i="6"/>
  <c r="W48" i="6"/>
  <c r="V47" i="6"/>
  <c r="W47" i="6"/>
  <c r="U47" i="6"/>
  <c r="U46" i="6"/>
  <c r="V46" i="6"/>
  <c r="W46" i="6"/>
  <c r="U45" i="6"/>
  <c r="V45" i="6"/>
  <c r="W45" i="6"/>
  <c r="U44" i="6"/>
  <c r="V44" i="6"/>
  <c r="W44" i="6"/>
  <c r="U43" i="6"/>
  <c r="V43" i="6"/>
  <c r="W43" i="6"/>
  <c r="U42" i="6"/>
  <c r="V42" i="6"/>
  <c r="W42" i="6"/>
  <c r="U41" i="6"/>
  <c r="V41" i="6"/>
  <c r="W41" i="6"/>
  <c r="V40" i="6"/>
  <c r="W40" i="6"/>
  <c r="U40" i="6"/>
  <c r="U39" i="6"/>
  <c r="V39" i="6"/>
  <c r="W39" i="6"/>
  <c r="U38" i="6"/>
  <c r="V38" i="6"/>
  <c r="W38" i="6"/>
  <c r="U37" i="6"/>
  <c r="V37" i="6"/>
  <c r="W37" i="6"/>
  <c r="U36" i="6"/>
  <c r="V36" i="6"/>
  <c r="W36" i="6"/>
  <c r="U35" i="6"/>
  <c r="V35" i="6"/>
  <c r="W35" i="6"/>
  <c r="U34" i="6"/>
  <c r="V34" i="6"/>
  <c r="W34" i="6"/>
  <c r="U33" i="6"/>
  <c r="V33" i="6"/>
  <c r="W33" i="6"/>
  <c r="U32" i="6"/>
  <c r="V32" i="6"/>
  <c r="W32" i="6"/>
  <c r="U31" i="6"/>
  <c r="V31" i="6"/>
  <c r="W31" i="6"/>
  <c r="U30" i="6"/>
  <c r="V30" i="6"/>
  <c r="W30" i="6"/>
  <c r="U29" i="6"/>
  <c r="V29" i="6"/>
  <c r="W29" i="6"/>
  <c r="U28" i="6"/>
  <c r="V28" i="6"/>
  <c r="W28" i="6"/>
  <c r="U27" i="6"/>
  <c r="V27" i="6"/>
  <c r="W27" i="6"/>
  <c r="U26" i="6"/>
  <c r="V26" i="6"/>
  <c r="W26" i="6"/>
  <c r="U25" i="6"/>
  <c r="V25" i="6"/>
  <c r="W25" i="6"/>
  <c r="V24" i="6"/>
  <c r="W24" i="6"/>
  <c r="U24" i="6"/>
  <c r="V23" i="6"/>
  <c r="W23" i="6"/>
  <c r="U23" i="6"/>
  <c r="I3" i="7"/>
  <c r="M17" i="7"/>
  <c r="K2" i="7"/>
  <c r="M44" i="7"/>
  <c r="M41" i="7"/>
  <c r="M37" i="7"/>
  <c r="M33" i="7"/>
  <c r="M32" i="7"/>
  <c r="F6" i="7"/>
  <c r="M21" i="7"/>
  <c r="F2" i="7"/>
  <c r="K5" i="7"/>
  <c r="M36" i="7"/>
  <c r="M24" i="7"/>
  <c r="K4" i="7"/>
  <c r="I2" i="7" s="1"/>
  <c r="M25" i="7"/>
  <c r="K3" i="7"/>
  <c r="I4" i="7"/>
  <c r="I5" i="7" s="1"/>
  <c r="M29" i="7"/>
  <c r="K6" i="7"/>
  <c r="N6" i="7"/>
  <c r="Q3" i="7" s="1"/>
  <c r="M20" i="7"/>
  <c r="M16" i="7"/>
  <c r="N2" i="7"/>
  <c r="D3" i="7"/>
  <c r="G25" i="7" s="1"/>
  <c r="M18" i="7"/>
  <c r="M22" i="7"/>
  <c r="M26" i="7"/>
  <c r="M34" i="7"/>
  <c r="M38" i="7"/>
  <c r="M42" i="7"/>
  <c r="F3" i="7"/>
  <c r="F4" i="7"/>
  <c r="D2" i="7" s="1"/>
  <c r="F5" i="7"/>
  <c r="N1" i="7"/>
  <c r="M15" i="7"/>
  <c r="M19" i="7"/>
  <c r="M23" i="7"/>
  <c r="M31" i="7"/>
  <c r="M39" i="7"/>
  <c r="M43" i="7"/>
  <c r="D4" i="7"/>
  <c r="D24" i="9"/>
  <c r="N18" i="9"/>
  <c r="V18" i="6" l="1"/>
  <c r="V19" i="6"/>
  <c r="V20" i="6"/>
  <c r="W18" i="6"/>
  <c r="W19" i="6"/>
  <c r="W20" i="6"/>
  <c r="U18" i="6"/>
  <c r="U19" i="6"/>
  <c r="U20" i="6"/>
  <c r="L45" i="7"/>
  <c r="L28" i="7"/>
  <c r="L50" i="7"/>
  <c r="L18" i="7"/>
  <c r="L43" i="7"/>
  <c r="L23" i="7"/>
  <c r="L53" i="7"/>
  <c r="L20" i="7"/>
  <c r="L19" i="7"/>
  <c r="L30" i="7"/>
  <c r="L34" i="7"/>
  <c r="L39" i="7"/>
  <c r="L27" i="7"/>
  <c r="L17" i="7"/>
  <c r="L42" i="7"/>
  <c r="L37" i="7"/>
  <c r="L16" i="7"/>
  <c r="L15" i="7"/>
  <c r="L33" i="7"/>
  <c r="L41" i="7"/>
  <c r="L24" i="7"/>
  <c r="L38" i="7"/>
  <c r="L31" i="7"/>
  <c r="L40" i="7"/>
  <c r="L29" i="7"/>
  <c r="L47" i="7"/>
  <c r="L48" i="7"/>
  <c r="L51" i="7"/>
  <c r="L22" i="7"/>
  <c r="D5" i="7"/>
  <c r="G38" i="7"/>
  <c r="Q2" i="7"/>
  <c r="G34" i="7"/>
  <c r="G39" i="7"/>
  <c r="G14" i="7"/>
  <c r="G17" i="7"/>
  <c r="G35" i="7"/>
  <c r="L46" i="7"/>
  <c r="L36" i="7"/>
  <c r="L25" i="7"/>
  <c r="L49" i="7"/>
  <c r="L32" i="7"/>
  <c r="L35" i="7"/>
  <c r="L52" i="7"/>
  <c r="L44" i="7"/>
  <c r="L26" i="7"/>
  <c r="L21" i="7"/>
  <c r="L54" i="7"/>
  <c r="L14" i="7"/>
  <c r="G41" i="7"/>
  <c r="G22" i="7"/>
  <c r="G15" i="7"/>
  <c r="G33" i="7"/>
  <c r="G54" i="7"/>
  <c r="G53" i="7"/>
  <c r="G40" i="7"/>
  <c r="G24" i="7"/>
  <c r="G52" i="7"/>
  <c r="G36" i="7"/>
  <c r="G32" i="7"/>
  <c r="G28" i="7"/>
  <c r="G20" i="7"/>
  <c r="G16" i="7"/>
  <c r="G26" i="7"/>
  <c r="G21" i="7"/>
  <c r="G30" i="7"/>
  <c r="G37" i="7"/>
  <c r="M55" i="7"/>
  <c r="M56" i="7"/>
  <c r="G18" i="7"/>
  <c r="G19" i="7"/>
  <c r="G27" i="7"/>
  <c r="N3" i="7"/>
  <c r="G29" i="7"/>
  <c r="G31" i="7"/>
  <c r="G23" i="7"/>
  <c r="N4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<sst xmlns="http://schemas.openxmlformats.org/spreadsheetml/2006/main" count="391" uniqueCount="226">
  <si>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</si>
  <si>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</si>
  <si>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</si>
  <si>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</si>
  <si>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</si>
  <si>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</si>
  <si>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</si>
  <si>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</si>
  <si>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</si>
  <si>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</si>
  <si>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</si>
  <si>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</si>
  <si>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変動係数</t>
    <rPh sb="0" eb="4">
      <t>ヘンドウケイスウ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</si>
  <si>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</si>
  <si>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</si>
  <si>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</si>
  <si>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</si>
  <si>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</si>
  <si>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</si>
  <si>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</si>
  <si>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</si>
  <si>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</si>
  <si>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</si>
  <si>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</si>
  <si>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</si>
  <si>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</si>
  <si>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</si>
  <si>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</si>
  <si>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</si>
  <si>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</si>
  <si>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</si>
  <si>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</si>
  <si>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</si>
  <si>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</si>
  <si>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</si>
  <si>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</si>
  <si>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</si>
  <si>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</si>
  <si>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</si>
  <si>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</si>
  <si>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</si>
  <si>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</si>
  <si>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</si>
  <si>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</si>
  <si>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</si>
  <si>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</si>
  <si>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</si>
  <si>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</si>
  <si>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</si>
  <si>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</si>
  <si>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</si>
  <si>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</si>
  <si>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</si>
  <si>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</si>
  <si>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</si>
  <si>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</si>
  <si>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</si>
  <si>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</si>
  <si>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</si>
  <si>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</si>
  <si>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</si>
  <si>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</si>
  <si>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</si>
  <si>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</si>
  <si>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</si>
  <si>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</si>
  <si>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</si>
  <si>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</si>
  <si>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</si>
  <si>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</si>
  <si>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</si>
  <si>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</si>
  <si>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</si>
  <si>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</si>
  <si>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</si>
  <si>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</si>
  <si>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</si>
  <si>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</si>
  <si>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</si>
  <si>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</si>
  <si>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</si>
  <si>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</si>
  <si>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</si>
  <si>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</si>
  <si>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</si>
  <si>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</si>
  <si>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</si>
  <si>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</si>
  <si>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</si>
  <si>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</si>
  <si>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</si>
  <si>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</si>
  <si>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</si>
  <si>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</si>
  <si>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</si>
  <si>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</si>
  <si>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</si>
  <si>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</si>
  <si>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</si>
  <si>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</si>
  <si>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</si>
  <si>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</si>
  <si>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</si>
  <si>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</si>
  <si>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</si>
  <si>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</si>
  <si>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</si>
  <si>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</si>
  <si>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</si>
  <si>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</si>
  <si>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</si>
  <si>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</si>
  <si>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</si>
  <si>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</si>
  <si>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</si>
  <si>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</si>
  <si>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</si>
  <si>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</si>
  <si>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</si>
  <si>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</si>
  <si>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</si>
  <si>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</si>
  <si>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</si>
  <si>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</si>
  <si>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</si>
  <si>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</si>
  <si>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</si>
  <si>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</si>
  <si>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</si>
  <si>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</si>
  <si>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</si>
  <si>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</si>
  <si>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</si>
  <si>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</si>
  <si>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</si>
  <si>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</si>
  <si>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</si>
  <si>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</si>
  <si>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test2</t>
  </si>
  <si>
    <t>社会</t>
  </si>
  <si>
    <t>主体的</t>
  </si>
  <si>
    <t>表</t>
  </si>
  <si>
    <t>J003</t>
  </si>
  <si>
    <t>J005</t>
  </si>
  <si>
    <t>test9</t>
  </si>
  <si>
    <t>算数</t>
  </si>
  <si>
    <t>test10</t>
  </si>
  <si>
    <t>J008</t>
  </si>
  <si>
    <t>無効</t>
    <phoneticPr fontId="1"/>
  </si>
  <si>
    <t>達成率</t>
  </si>
  <si>
    <t>ABC</t>
  </si>
  <si>
    <t>体育</t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</si>
  <si>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</si>
  <si>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</si>
  <si>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</si>
  <si>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</si>
  <si>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</si>
  <si>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</si>
  <si>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</si>
  <si>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</si>
  <si>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</si>
  <si>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</si>
  <si>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</si>
  <si>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</si>
  <si>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</si>
  <si>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</si>
  <si>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</si>
  <si>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</si>
  <si>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</si>
  <si>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非表示</t>
    <phoneticPr fontId="1"/>
  </si>
  <si>
    <t>※ 得点セルをダブルクリックで修正できます</t>
    <phoneticPr fontId="1"/>
  </si>
  <si>
    <t>追試</t>
    <rPh sb="0" eb="2">
      <t>ツイシ</t>
    </rPh>
    <phoneticPr fontId="1"/>
  </si>
  <si>
    <t>コード</t>
  </si>
  <si>
    <t>姓</t>
  </si>
  <si>
    <t>名</t>
  </si>
  <si>
    <t>在籍開始日</t>
  </si>
  <si>
    <t>在籍終了日</t>
  </si>
  <si>
    <t>【説明】</t>
    <rPh sb="1" eb="3">
      <t>セツメイ</t>
    </rPh>
    <phoneticPr fontId="1"/>
  </si>
  <si>
    <t>・番号順に姓と名を分けて、上から順に入力してください。</t>
    <rPh sb="1" eb="4">
      <t>バンゴウジュン</t>
    </rPh>
    <rPh sb="5" eb="6">
      <t>セイ</t>
    </rPh>
    <rPh sb="7" eb="8">
      <t>メイ</t>
    </rPh>
    <rPh sb="9" eb="10">
      <t>ワ</t>
    </rPh>
    <rPh sb="13" eb="14">
      <t>ウエ</t>
    </rPh>
    <rPh sb="16" eb="17">
      <t>ジュン</t>
    </rPh>
    <rPh sb="18" eb="20">
      <t>ニュウリョク</t>
    </rPh>
    <phoneticPr fontId="1"/>
  </si>
  <si>
    <t>・児童を識別するためにコードが必要となります。特にこだわりがない場合は、名前入力後、自動採番ボタンを押してください。</t>
    <rPh sb="1" eb="3">
      <t>ジドウ</t>
    </rPh>
    <rPh sb="4" eb="6">
      <t>シキベツ</t>
    </rPh>
    <rPh sb="15" eb="17">
      <t>ヒツヨウ</t>
    </rPh>
    <rPh sb="23" eb="24">
      <t>トク</t>
    </rPh>
    <rPh sb="32" eb="34">
      <t>バアイ</t>
    </rPh>
    <rPh sb="36" eb="41">
      <t>ナマエニュウリョクゴ</t>
    </rPh>
    <rPh sb="42" eb="46">
      <t>ジドウサイバン</t>
    </rPh>
    <rPh sb="50" eb="51">
      <t>オ</t>
    </rPh>
    <phoneticPr fontId="1"/>
  </si>
  <si>
    <t>・転学等でクラスの在籍が無くなった場合は、その日を在籍終了日に入力してください。</t>
    <rPh sb="1" eb="3">
      <t>テンガク</t>
    </rPh>
    <rPh sb="3" eb="4">
      <t>トウ</t>
    </rPh>
    <rPh sb="9" eb="11">
      <t>ザイセキ</t>
    </rPh>
    <rPh sb="12" eb="13">
      <t>ナ</t>
    </rPh>
    <rPh sb="17" eb="19">
      <t>バアイ</t>
    </rPh>
    <rPh sb="23" eb="24">
      <t>ヒ</t>
    </rPh>
    <rPh sb="25" eb="30">
      <t>ザイセキシュウリョウビ</t>
    </rPh>
    <rPh sb="31" eb="33">
      <t>ニュウリョク</t>
    </rPh>
    <phoneticPr fontId="1"/>
  </si>
  <si>
    <t>小テスト</t>
    <rPh sb="0" eb="1">
      <t>ショウ</t>
    </rPh>
    <phoneticPr fontId="1"/>
  </si>
  <si>
    <t>・在籍開始日を設定してください。</t>
    <rPh sb="1" eb="6">
      <t>ザイセキカイシビ</t>
    </rPh>
    <rPh sb="7" eb="9">
      <t>セッテイ</t>
    </rPh>
    <phoneticPr fontId="1"/>
  </si>
  <si>
    <t>入力チェック</t>
    <rPh sb="0" eb="2">
      <t>ニュウリョク</t>
    </rPh>
    <phoneticPr fontId="1"/>
  </si>
  <si>
    <t>実施したテストを入力する場合はこちら</t>
    <rPh sb="0" eb="2">
      <t>ジッシ</t>
    </rPh>
    <rPh sb="8" eb="10">
      <t>ニュウリョク</t>
    </rPh>
    <rPh sb="12" eb="14">
      <t>バアイ</t>
    </rPh>
    <phoneticPr fontId="1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</si>
  <si>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1"/>
  </si>
  <si>
    <t>J014</t>
  </si>
  <si>
    <t>tesut</t>
  </si>
  <si>
    <t>J015</t>
  </si>
  <si>
    <t>表示</t>
    <phoneticPr fontId="1"/>
  </si>
  <si>
    <t>テスト４</t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</si>
  <si>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</si>
  <si>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</si>
  <si>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</si>
  <si>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</si>
  <si>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</si>
  <si>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</si>
  <si>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</si>
  <si>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</si>
  <si>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</si>
  <si>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●</t>
  </si>
  <si>
    <t>候補</t>
  </si>
  <si>
    <t>A計</t>
  </si>
  <si>
    <t>B計</t>
  </si>
  <si>
    <t>C計</t>
  </si>
  <si>
    <t>最終決定</t>
  </si>
  <si>
    <t>test3</t>
  </si>
  <si>
    <t>test4</t>
  </si>
  <si>
    <t>test6</t>
  </si>
  <si>
    <t>test19</t>
  </si>
  <si>
    <t>-</t>
  </si>
  <si>
    <t>算</t>
  </si>
  <si>
    <t>体</t>
  </si>
  <si>
    <t>知識・技能</t>
  </si>
  <si>
    <t>思考・判断・表現</t>
  </si>
  <si>
    <t>主体的に学習に取り組む態度</t>
  </si>
  <si>
    <t>姓</t>
    <phoneticPr fontId="1"/>
  </si>
  <si>
    <t>名</t>
    <phoneticPr fontId="1"/>
  </si>
  <si>
    <t>道</t>
  </si>
  <si>
    <t>道徳</t>
  </si>
  <si>
    <t>知技</t>
    <phoneticPr fontId="1"/>
  </si>
  <si>
    <t>思判表</t>
    <phoneticPr fontId="1"/>
  </si>
  <si>
    <t>主体的</t>
    <phoneticPr fontId="1"/>
  </si>
  <si>
    <t>３学期</t>
  </si>
  <si>
    <t>各教科や観点ごとに成績を集計・確認</t>
    <rPh sb="0" eb="3">
      <t>カクキョウカ</t>
    </rPh>
    <rPh sb="4" eb="6">
      <t>カンテン</t>
    </rPh>
    <rPh sb="9" eb="11">
      <t>セイセキ</t>
    </rPh>
    <rPh sb="12" eb="14">
      <t>シュウケイ</t>
    </rPh>
    <rPh sb="15" eb="17">
      <t>カクニン</t>
    </rPh>
    <phoneticPr fontId="1"/>
  </si>
  <si>
    <t>したい場合はこちら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</si>
</sst>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.0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sz val="8"/>
      <color rgb="FF646464"/>
      <name val="游ゴシック"/>
      <family val="3"/>
      <charset val="128"/>
      <scheme val="minor"/>
    </font>
    <font>
      <sz val="9"/>
      <color rgb="FF505050"/>
      <name val="游ゴシック"/>
      <family val="3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539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DE1EE"/>
        <bgColor indexed="64"/>
      </patternFill>
    </fill>
    <fill>
      <patternFill patternType="solid">
        <fgColor rgb="FFD7EEDB"/>
        <bgColor indexed="64"/>
      </patternFill>
    </fill>
    <fill>
      <patternFill patternType="solid">
        <fgColor rgb="FFFFE1D2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EEF8F0"/>
        <bgColor indexed="64"/>
      </patternFill>
    </fill>
    <fill>
      <patternFill patternType="solid">
        <fgColor rgb="FFFFF4EE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/>
      <right/>
      <top/>
      <bottom style="thin">
        <color rgb="FF1F497D"/>
      </bottom>
      <diagonal/>
    </border>
    <border>
      <left/>
      <right/>
      <top style="medium">
        <color rgb="FF646464"/>
      </top>
      <bottom/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 style="medium">
        <color rgb="FF646464"/>
      </left>
      <right/>
      <top/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/>
      <right style="medium">
        <color rgb="FF646464"/>
      </right>
      <top/>
      <bottom/>
      <diagonal/>
    </border>
    <border>
      <left style="medium">
        <color rgb="FF646464"/>
      </left>
      <right/>
      <top style="medium">
        <color rgb="FF646464"/>
      </top>
      <bottom style="hair">
        <color rgb="FFC8C8C8"/>
      </bottom>
      <diagonal/>
    </border>
    <border>
      <left/>
      <right/>
      <top style="medium">
        <color rgb="FF646464"/>
      </top>
      <bottom style="hair">
        <color rgb="FFC8C8C8"/>
      </bottom>
      <diagonal/>
    </border>
    <border>
      <left/>
      <right style="medium">
        <color rgb="FF646464"/>
      </right>
      <top style="medium">
        <color rgb="FF646464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hair">
        <color rgb="FFC8C8C8"/>
      </bottom>
      <diagonal/>
    </border>
    <border>
      <left/>
      <right/>
      <top style="hair">
        <color rgb="FFC8C8C8"/>
      </top>
      <bottom style="hair">
        <color rgb="FFC8C8C8"/>
      </bottom>
      <diagonal/>
    </border>
    <border>
      <left/>
      <right style="medium">
        <color rgb="FF646464"/>
      </right>
      <top style="hair">
        <color rgb="FFC8C8C8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medium">
        <color rgb="FF646464"/>
      </bottom>
      <diagonal/>
    </border>
    <border>
      <left/>
      <right/>
      <top style="hair">
        <color rgb="FFC8C8C8"/>
      </top>
      <bottom style="medium">
        <color rgb="FF646464"/>
      </bottom>
      <diagonal/>
    </border>
    <border>
      <left/>
      <right style="medium">
        <color rgb="FF646464"/>
      </right>
      <top style="hair">
        <color rgb="FFC8C8C8"/>
      </top>
      <bottom style="medium">
        <color rgb="FF646464"/>
      </bottom>
      <diagonal/>
    </border>
    <border>
      <left style="thin">
        <color rgb="FF969696"/>
      </left>
      <right/>
      <top style="medium">
        <color rgb="FF646464"/>
      </top>
      <bottom/>
      <diagonal/>
    </border>
    <border>
      <left style="thin">
        <color rgb="FF969696"/>
      </left>
      <right/>
      <top/>
      <bottom/>
      <diagonal/>
    </border>
    <border>
      <left style="thin">
        <color rgb="FF969696"/>
      </left>
      <right/>
      <top style="medium">
        <color rgb="FF646464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medium">
        <color rgb="FF6464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225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0" borderId="0" xfId="1" applyFont="1" applyAlignment="1">
      <alignment horizontal="center" vertical="center" wrapText="1" shrinkToFit="1"/>
    </xf>
    <xf numFmtId="0" fontId="10" fillId="0" borderId="1" xfId="1" applyFont="1" applyBorder="1" applyAlignment="1">
      <alignment horizontal="center" vertical="center" wrapText="1" shrinkToFit="1"/>
    </xf>
    <xf numFmtId="0" fontId="10" fillId="0" borderId="0" xfId="1" applyFont="1" applyAlignment="1">
      <alignment horizontal="right" vertical="center"/>
    </xf>
    <xf numFmtId="0" fontId="5" fillId="0" borderId="26" xfId="1" applyBorder="1" applyAlignment="1">
      <alignment horizont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7" fillId="9" borderId="0" xfId="0" applyFont="1" applyFill="1">
      <alignment vertical="center"/>
    </xf>
    <xf numFmtId="0" fontId="21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0" fillId="12" borderId="0" xfId="0" applyFont="1" applyFill="1">
      <alignment vertical="center"/>
    </xf>
    <xf numFmtId="0" fontId="20" fillId="12" borderId="0" xfId="0" applyFont="1" applyFill="1" applyAlignment="1">
      <alignment horizontal="right" vertical="center"/>
    </xf>
    <xf numFmtId="0" fontId="22" fillId="12" borderId="0" xfId="0" applyFont="1" applyFill="1">
      <alignment vertical="center"/>
    </xf>
    <xf numFmtId="0" fontId="20" fillId="12" borderId="0" xfId="0" applyFont="1" applyFill="1" applyAlignment="1">
      <alignment vertical="center" textRotation="255"/>
    </xf>
    <xf numFmtId="0" fontId="20" fillId="12" borderId="31" xfId="0" applyFont="1" applyFill="1" applyBorder="1">
      <alignment vertical="center"/>
    </xf>
    <xf numFmtId="0" fontId="20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19" fillId="13" borderId="0" xfId="0" applyFont="1" applyFill="1">
      <alignment vertical="center"/>
    </xf>
    <xf numFmtId="0" fontId="19" fillId="0" borderId="0" xfId="0" applyFont="1">
      <alignment vertical="center"/>
    </xf>
    <xf numFmtId="14" fontId="13" fillId="0" borderId="0" xfId="0" applyNumberFormat="1" applyFont="1">
      <alignment vertical="center"/>
    </xf>
    <xf numFmtId="0" fontId="21" fillId="11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3" fillId="11" borderId="29" xfId="0" applyFont="1" applyFill="1" applyBorder="1" applyProtection="1">
      <alignment vertical="center"/>
      <protection locked="0"/>
    </xf>
    <xf numFmtId="14" fontId="13" fillId="0" borderId="0" xfId="0" applyNumberFormat="1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8" fillId="5" borderId="1" xfId="1" applyFont="1" applyFill="1" applyBorder="1" applyAlignment="1" applyProtection="1">
      <alignment shrinkToFit="1"/>
      <protection locked="0"/>
    </xf>
    <xf numFmtId="14" fontId="8" fillId="5" borderId="1" xfId="1" applyNumberFormat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 wrapText="1" shrinkToFit="1"/>
      <protection locked="0"/>
    </xf>
    <xf numFmtId="0" fontId="8" fillId="5" borderId="1" xfId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1" applyProtection="1">
      <protection locked="0"/>
    </xf>
    <xf numFmtId="0" fontId="5" fillId="0" borderId="0" xfId="1" applyAlignment="1" applyProtection="1">
      <alignment horizontal="center"/>
      <protection locked="0"/>
    </xf>
    <xf numFmtId="0" fontId="5" fillId="15" borderId="0" xfId="1" applyFill="1"/>
    <xf numFmtId="0" fontId="5" fillId="15" borderId="0" xfId="1" applyFill="1" applyAlignment="1">
      <alignment horizontal="left"/>
    </xf>
    <xf numFmtId="0" fontId="6" fillId="15" borderId="0" xfId="1" applyFont="1" applyFill="1" applyAlignment="1">
      <alignment horizontal="left"/>
    </xf>
    <xf numFmtId="0" fontId="8" fillId="15" borderId="0" xfId="1" applyFont="1" applyFill="1"/>
    <xf numFmtId="0" fontId="8" fillId="15" borderId="0" xfId="1" applyFont="1" applyFill="1" applyAlignment="1">
      <alignment horizontal="left"/>
    </xf>
    <xf numFmtId="0" fontId="9" fillId="15" borderId="0" xfId="1" applyFont="1" applyFill="1" applyAlignment="1">
      <alignment horizontal="right"/>
    </xf>
    <xf numFmtId="0" fontId="5" fillId="15" borderId="0" xfId="1" applyFill="1" applyAlignment="1">
      <alignment horizontal="right"/>
    </xf>
    <xf numFmtId="0" fontId="8" fillId="15" borderId="26" xfId="1" applyFont="1" applyFill="1" applyBorder="1"/>
    <xf numFmtId="0" fontId="12" fillId="15" borderId="26" xfId="1" applyFont="1" applyFill="1" applyBorder="1" applyAlignment="1">
      <alignment horizontal="center" vertical="center"/>
    </xf>
    <xf numFmtId="0" fontId="8" fillId="15" borderId="0" xfId="1" applyFont="1" applyFill="1" applyAlignment="1">
      <alignment horizontal="center"/>
    </xf>
    <xf numFmtId="0" fontId="5" fillId="15" borderId="0" xfId="1" applyFill="1" applyAlignment="1">
      <alignment horizontal="center"/>
    </xf>
    <xf numFmtId="0" fontId="8" fillId="15" borderId="0" xfId="1" applyFont="1" applyFill="1" applyAlignment="1">
      <alignment horizontal="center" shrinkToFit="1"/>
    </xf>
    <xf numFmtId="0" fontId="11" fillId="15" borderId="0" xfId="1" applyFont="1" applyFill="1" applyAlignment="1">
      <alignment horizontal="center"/>
    </xf>
    <xf numFmtId="0" fontId="13" fillId="15" borderId="0" xfId="1" applyFont="1" applyFill="1" applyAlignment="1">
      <alignment horizontal="center"/>
    </xf>
    <xf numFmtId="0" fontId="10" fillId="15" borderId="0" xfId="1" applyFont="1" applyFill="1" applyAlignment="1">
      <alignment horizontal="left"/>
    </xf>
    <xf numFmtId="0" fontId="8" fillId="15" borderId="26" xfId="1" applyFont="1" applyFill="1" applyBorder="1" applyAlignment="1">
      <alignment horizontal="center"/>
    </xf>
    <xf numFmtId="0" fontId="5" fillId="15" borderId="0" xfId="1" applyFill="1" applyAlignment="1">
      <alignment horizontal="center" vertical="center"/>
    </xf>
    <xf numFmtId="0" fontId="8" fillId="15" borderId="0" xfId="1" applyFont="1" applyFill="1" applyAlignment="1" applyProtection="1">
      <alignment horizontal="center"/>
      <protection locked="0"/>
    </xf>
    <xf numFmtId="0" fontId="13" fillId="0" borderId="29" xfId="0" applyFont="1" applyBorder="1">
      <alignment vertical="center"/>
    </xf>
    <xf numFmtId="0" fontId="0" fillId="9" borderId="0" xfId="0" applyFill="1">
      <alignment vertical="center"/>
    </xf>
    <xf numFmtId="0" fontId="23" fillId="9" borderId="0" xfId="0" applyFont="1" applyFill="1">
      <alignment vertical="center"/>
    </xf>
    <xf numFmtId="0" fontId="24" fillId="9" borderId="0" xfId="0" applyFont="1" applyFill="1">
      <alignment vertical="center"/>
    </xf>
    <xf numFmtId="0" fontId="24" fillId="0" borderId="0" xfId="0" applyFont="1">
      <alignment vertical="center"/>
    </xf>
    <xf numFmtId="0" fontId="17" fillId="9" borderId="0" xfId="0" applyFont="1" applyFill="1" applyProtection="1">
      <alignment vertical="center"/>
      <protection locked="0"/>
    </xf>
    <xf numFmtId="0" fontId="13" fillId="9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0" fontId="20" fillId="14" borderId="0" xfId="0" applyFont="1" applyFill="1" applyProtection="1">
      <alignment vertical="center"/>
      <protection locked="0"/>
    </xf>
    <xf numFmtId="0" fontId="20" fillId="14" borderId="0" xfId="0" applyFont="1" applyFill="1" applyAlignment="1" applyProtection="1">
      <alignment horizontal="right" vertical="center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20" fillId="14" borderId="32" xfId="0" applyFont="1" applyFill="1" applyBorder="1" applyProtection="1">
      <alignment vertical="center"/>
      <protection locked="0"/>
    </xf>
    <xf numFmtId="0" fontId="20" fillId="14" borderId="32" xfId="0" applyFont="1" applyFill="1" applyBorder="1" applyAlignment="1" applyProtection="1">
      <alignment horizontal="right" vertical="center"/>
      <protection locked="0"/>
    </xf>
    <xf numFmtId="0" fontId="20" fillId="12" borderId="0" xfId="0" applyFont="1" applyFill="1" applyProtection="1">
      <alignment vertical="center"/>
      <protection locked="0"/>
    </xf>
    <xf numFmtId="0" fontId="20" fillId="12" borderId="0" xfId="0" applyFont="1" applyFill="1" applyAlignment="1" applyProtection="1">
      <alignment horizontal="right" vertical="center"/>
      <protection locked="0"/>
    </xf>
    <xf numFmtId="0" fontId="13" fillId="0" borderId="0" xfId="1" applyFont="1" applyProtection="1">
      <protection locked="0"/>
    </xf>
    <xf numFmtId="0" fontId="13" fillId="1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3" fillId="15" borderId="0" xfId="0" applyFont="1" applyFill="1" applyAlignment="1" applyProtection="1">
      <alignment vertical="center" shrinkToFit="1"/>
      <protection locked="0"/>
    </xf>
    <xf numFmtId="0" fontId="13" fillId="0" borderId="28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20" fillId="12" borderId="32" xfId="0" applyFont="1" applyFill="1" applyBorder="1" applyProtection="1">
      <alignment vertical="center"/>
      <protection locked="0"/>
    </xf>
    <xf numFmtId="0" fontId="20" fillId="12" borderId="32" xfId="0" applyFont="1" applyFill="1" applyBorder="1" applyAlignment="1" applyProtection="1">
      <alignment horizontal="right" vertical="center"/>
      <protection locked="0"/>
    </xf>
    <xf numFmtId="0" fontId="20" fillId="11" borderId="0" xfId="0" applyFont="1" applyFill="1" applyProtection="1">
      <alignment vertical="center"/>
      <protection locked="0"/>
    </xf>
    <xf numFmtId="0" fontId="20" fillId="11" borderId="0" xfId="0" applyFont="1" applyFill="1" applyAlignment="1" applyProtection="1">
      <alignment horizontal="right" vertical="center"/>
      <protection locked="0"/>
    </xf>
    <xf numFmtId="0" fontId="20" fillId="11" borderId="31" xfId="0" applyFont="1" applyFill="1" applyBorder="1" applyAlignment="1" applyProtection="1">
      <alignment horizontal="right" vertical="center"/>
      <protection locked="0"/>
    </xf>
    <xf numFmtId="0" fontId="20" fillId="11" borderId="31" xfId="0" applyFont="1" applyFill="1" applyBorder="1" applyProtection="1">
      <alignment vertical="center"/>
      <protection locked="0"/>
    </xf>
    <xf numFmtId="0" fontId="31" fillId="16" borderId="33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 shrinkToFit="1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 shrinkToFit="1"/>
    </xf>
    <xf numFmtId="0" fontId="25" fillId="19" borderId="38" xfId="0" applyFont="1" applyFill="1" applyBorder="1" applyAlignment="1">
      <alignment horizontal="center" vertical="center"/>
    </xf>
    <xf numFmtId="0" fontId="25" fillId="19" borderId="39" xfId="0" applyFont="1" applyFill="1" applyBorder="1" applyAlignment="1">
      <alignment horizontal="left" vertical="center"/>
    </xf>
    <xf numFmtId="0" fontId="25" fillId="19" borderId="40" xfId="0" applyFont="1" applyFill="1" applyBorder="1" applyAlignment="1">
      <alignment horizontal="left" vertical="center"/>
    </xf>
    <xf numFmtId="0" fontId="25" fillId="19" borderId="41" xfId="0" applyFont="1" applyFill="1" applyBorder="1" applyAlignment="1">
      <alignment horizontal="center" vertical="center"/>
    </xf>
    <xf numFmtId="0" fontId="25" fillId="19" borderId="42" xfId="0" applyFont="1" applyFill="1" applyBorder="1" applyAlignment="1">
      <alignment horizontal="left" vertical="center"/>
    </xf>
    <xf numFmtId="0" fontId="25" fillId="19" borderId="43" xfId="0" applyFont="1" applyFill="1" applyBorder="1" applyAlignment="1">
      <alignment horizontal="left" vertical="center"/>
    </xf>
    <xf numFmtId="0" fontId="25" fillId="19" borderId="44" xfId="0" applyFont="1" applyFill="1" applyBorder="1" applyAlignment="1">
      <alignment horizontal="center" vertical="center"/>
    </xf>
    <xf numFmtId="0" fontId="25" fillId="19" borderId="45" xfId="0" applyFont="1" applyFill="1" applyBorder="1" applyAlignment="1">
      <alignment horizontal="left" vertical="center"/>
    </xf>
    <xf numFmtId="0" fontId="25" fillId="19" borderId="46" xfId="0" applyFont="1" applyFill="1" applyBorder="1" applyAlignment="1">
      <alignment horizontal="left" vertical="center"/>
    </xf>
    <xf numFmtId="0" fontId="25" fillId="0" borderId="28" xfId="0" applyFont="1" applyBorder="1" applyProtection="1">
      <alignment vertical="center"/>
      <protection locked="0"/>
    </xf>
    <xf numFmtId="0" fontId="25" fillId="0" borderId="0" xfId="0" applyFont="1" applyProtection="1">
      <alignment vertical="center"/>
      <protection locked="0"/>
    </xf>
    <xf numFmtId="177" fontId="35" fillId="0" borderId="3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horizontal="center" vertical="center"/>
    </xf>
    <xf numFmtId="177" fontId="35" fillId="0" borderId="40" xfId="0" applyNumberFormat="1" applyFont="1" applyBorder="1" applyAlignment="1">
      <alignment horizontal="center" vertical="center"/>
    </xf>
    <xf numFmtId="177" fontId="35" fillId="0" borderId="42" xfId="0" applyNumberFormat="1" applyFont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177" fontId="35" fillId="0" borderId="43" xfId="0" applyNumberFormat="1" applyFont="1" applyBorder="1" applyAlignment="1">
      <alignment horizontal="center" vertical="center"/>
    </xf>
    <xf numFmtId="0" fontId="32" fillId="0" borderId="51" xfId="0" applyFont="1" applyBorder="1" applyAlignment="1">
      <alignment horizontal="center" vertical="center"/>
    </xf>
    <xf numFmtId="0" fontId="30" fillId="0" borderId="0" xfId="0" applyFont="1" applyAlignment="1">
      <alignment vertical="center" shrinkToFit="1"/>
    </xf>
    <xf numFmtId="0" fontId="30" fillId="0" borderId="0" xfId="0" applyFont="1">
      <alignment vertical="center"/>
    </xf>
    <xf numFmtId="0" fontId="31" fillId="16" borderId="0" xfId="0" applyFont="1" applyFill="1" applyAlignment="1">
      <alignment horizontal="center" vertical="center" shrinkToFit="1"/>
    </xf>
    <xf numFmtId="177" fontId="35" fillId="23" borderId="42" xfId="0" applyNumberFormat="1" applyFont="1" applyFill="1" applyBorder="1" applyAlignment="1">
      <alignment horizontal="center" vertical="center"/>
    </xf>
    <xf numFmtId="177" fontId="35" fillId="24" borderId="42" xfId="0" applyNumberFormat="1" applyFont="1" applyFill="1" applyBorder="1" applyAlignment="1">
      <alignment horizontal="center" vertical="center"/>
    </xf>
    <xf numFmtId="177" fontId="35" fillId="25" borderId="42" xfId="0" applyNumberFormat="1" applyFont="1" applyFill="1" applyBorder="1" applyAlignment="1">
      <alignment horizontal="center" vertical="center"/>
    </xf>
    <xf numFmtId="177" fontId="35" fillId="23" borderId="45" xfId="0" applyNumberFormat="1" applyFont="1" applyFill="1" applyBorder="1" applyAlignment="1">
      <alignment horizontal="center" vertical="center"/>
    </xf>
    <xf numFmtId="177" fontId="35" fillId="24" borderId="45" xfId="0" applyNumberFormat="1" applyFont="1" applyFill="1" applyBorder="1" applyAlignment="1">
      <alignment horizontal="center" vertical="center"/>
    </xf>
    <xf numFmtId="177" fontId="35" fillId="25" borderId="45" xfId="0" applyNumberFormat="1" applyFont="1" applyFill="1" applyBorder="1" applyAlignment="1">
      <alignment horizontal="center" vertical="center"/>
    </xf>
    <xf numFmtId="0" fontId="30" fillId="0" borderId="47" xfId="0" applyFont="1" applyBorder="1">
      <alignment vertical="center"/>
    </xf>
    <xf numFmtId="0" fontId="33" fillId="20" borderId="0" xfId="0" applyFont="1" applyFill="1" applyAlignment="1">
      <alignment horizontal="center" vertical="center"/>
    </xf>
    <xf numFmtId="0" fontId="33" fillId="21" borderId="0" xfId="0" applyFont="1" applyFill="1" applyAlignment="1">
      <alignment horizontal="center" vertical="center"/>
    </xf>
    <xf numFmtId="0" fontId="33" fillId="22" borderId="0" xfId="0" applyFont="1" applyFill="1" applyAlignment="1">
      <alignment horizontal="center" vertical="center"/>
    </xf>
    <xf numFmtId="0" fontId="34" fillId="18" borderId="0" xfId="0" applyFont="1" applyFill="1" applyAlignment="1">
      <alignment horizontal="center" vertical="center"/>
    </xf>
    <xf numFmtId="0" fontId="33" fillId="22" borderId="37" xfId="0" applyFont="1" applyFill="1" applyBorder="1" applyAlignment="1">
      <alignment horizontal="center" vertical="center"/>
    </xf>
    <xf numFmtId="0" fontId="34" fillId="18" borderId="37" xfId="0" applyFont="1" applyFill="1" applyBorder="1" applyAlignment="1">
      <alignment horizontal="center" vertical="center"/>
    </xf>
    <xf numFmtId="177" fontId="35" fillId="25" borderId="43" xfId="0" applyNumberFormat="1" applyFont="1" applyFill="1" applyBorder="1" applyAlignment="1">
      <alignment horizontal="center" vertical="center"/>
    </xf>
    <xf numFmtId="177" fontId="35" fillId="25" borderId="46" xfId="0" applyNumberFormat="1" applyFont="1" applyFill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/>
    </xf>
    <xf numFmtId="0" fontId="34" fillId="18" borderId="48" xfId="0" applyFont="1" applyFill="1" applyBorder="1" applyAlignment="1">
      <alignment horizontal="center" vertical="center"/>
    </xf>
    <xf numFmtId="0" fontId="0" fillId="3" borderId="0" xfId="0" applyFill="1" applyProtection="1">
      <alignment vertical="center"/>
      <protection locked="0"/>
    </xf>
    <xf numFmtId="0" fontId="10" fillId="6" borderId="1" xfId="1" applyFont="1" applyFill="1" applyBorder="1" applyAlignment="1" applyProtection="1">
      <alignment horizontal="center" vertical="center" wrapText="1" shrinkToFit="1"/>
      <protection locked="0"/>
    </xf>
    <xf numFmtId="0" fontId="10" fillId="7" borderId="1" xfId="1" applyFont="1" applyFill="1" applyBorder="1" applyAlignment="1" applyProtection="1">
      <alignment horizontal="center" vertical="center" wrapText="1" shrinkToFit="1"/>
      <protection locked="0"/>
    </xf>
    <xf numFmtId="0" fontId="10" fillId="8" borderId="1" xfId="1" applyFont="1" applyFill="1" applyBorder="1" applyAlignment="1" applyProtection="1">
      <alignment horizontal="center" vertical="center" wrapText="1" shrinkToFit="1"/>
      <protection locked="0"/>
    </xf>
    <xf numFmtId="0" fontId="8" fillId="8" borderId="1" xfId="1" applyFont="1" applyFill="1" applyBorder="1" applyAlignment="1" applyProtection="1">
      <alignment horizontal="center" vertical="center"/>
      <protection locked="0"/>
    </xf>
    <xf numFmtId="0" fontId="8" fillId="8" borderId="1" xfId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31" fillId="16" borderId="34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/>
    </xf>
    <xf numFmtId="0" fontId="31" fillId="16" borderId="33" xfId="0" applyFont="1" applyFill="1" applyBorder="1" applyAlignment="1">
      <alignment horizontal="center" vertical="center"/>
    </xf>
    <xf numFmtId="0" fontId="31" fillId="16" borderId="0" xfId="0" applyFont="1" applyFill="1" applyAlignment="1">
      <alignment horizontal="center" vertical="center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</cellXfs>
  <cellStyles count="2">
    <cellStyle name="標準" xfId="0" builtinId="0"/>
    <cellStyle name="標準 2" xfId="1" xr:uid="{400476B9-6F9E-4B9B-BA13-859D55D6414B}"/>
  </cellStyles>
  <dxfs count="10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497D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比較分析!$F$15:$F$54</c:f>
              <c:numCache>
                <c:formatCode>General</c:formatCode>
                <c:ptCount val="40"/>
                <c:pt idx="0">
                  <c:v>100</c:v>
                </c:pt>
                <c:pt idx="1">
                  <c:v>99</c:v>
                </c:pt>
                <c:pt idx="2">
                  <c:v>98</c:v>
                </c:pt>
                <c:pt idx="3">
                  <c:v>97</c:v>
                </c:pt>
                <c:pt idx="4">
                  <c:v>96</c:v>
                </c:pt>
                <c:pt idx="5">
                  <c:v>95</c:v>
                </c:pt>
                <c:pt idx="6">
                  <c:v>94</c:v>
                </c:pt>
                <c:pt idx="7">
                  <c:v>0</c:v>
                </c:pt>
                <c:pt idx="8">
                  <c:v>92</c:v>
                </c:pt>
                <c:pt idx="9">
                  <c:v>91</c:v>
                </c:pt>
                <c:pt idx="10">
                  <c:v>90</c:v>
                </c:pt>
                <c:pt idx="11">
                  <c:v>89</c:v>
                </c:pt>
                <c:pt idx="12">
                  <c:v>88</c:v>
                </c:pt>
                <c:pt idx="13">
                  <c:v>87</c:v>
                </c:pt>
                <c:pt idx="14">
                  <c:v>86</c:v>
                </c:pt>
                <c:pt idx="15">
                  <c:v>85</c:v>
                </c:pt>
                <c:pt idx="16">
                  <c:v>84</c:v>
                </c:pt>
                <c:pt idx="17">
                  <c:v>83</c:v>
                </c:pt>
                <c:pt idx="18">
                  <c:v>82</c:v>
                </c:pt>
                <c:pt idx="19">
                  <c:v>81</c:v>
                </c:pt>
                <c:pt idx="20">
                  <c:v>80</c:v>
                </c:pt>
                <c:pt idx="21">
                  <c:v>79</c:v>
                </c:pt>
                <c:pt idx="22">
                  <c:v>78</c:v>
                </c:pt>
                <c:pt idx="23">
                  <c:v>77</c:v>
                </c:pt>
                <c:pt idx="24">
                  <c:v>76</c:v>
                </c:pt>
                <c:pt idx="25">
                  <c:v>75</c:v>
                </c:pt>
                <c:pt idx="26">
                  <c:v>74</c:v>
                </c:pt>
                <c:pt idx="27">
                  <c:v>73</c:v>
                </c:pt>
                <c:pt idx="28">
                  <c:v>72</c:v>
                </c:pt>
                <c:pt idx="29">
                  <c:v>71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比較分析!$K$15:$K$54</c:f>
              <c:numCache>
                <c:formatCode>General</c:formatCode>
                <c:ptCount val="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_xlchart.v1.4</cx:f>
      </cx:numDim>
    </cx:data>
    <cx:data id="3">
      <cx:numDim type="val">
        <cx:f>_xlchart.v1.5</cx:f>
      </cx:numDim>
    </cx:data>
    <cx:data id="4">
      <cx:numDim type="val">
        <cx:f>_xlchart.v1.6</cx:f>
      </cx:numDim>
    </cx:data>
    <cx:data id="5">
      <cx:numDim type="val">
        <cx:f>_xlchart.v1.7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M$12" lockText="1"/>
</file>

<file path=xl/ctrlProps/ctrlProp10.xml><?xml version="1.0" encoding="utf-8"?>
<formControlPr xmlns="http://schemas.microsoft.com/office/spreadsheetml/2009/9/main" objectType="CheckBox" checked="Checked" fmlaLink="$M$14" lockText="1"/>
</file>

<file path=xl/ctrlProps/ctrlProp11.xml><?xml version="1.0" encoding="utf-8"?>
<formControlPr xmlns="http://schemas.microsoft.com/office/spreadsheetml/2009/9/main" objectType="CheckBox" checked="Checked" fmlaLink="$M$16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$M$10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22860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6</xdr:row>
          <xdr:rowOff>144780</xdr:rowOff>
        </xdr:from>
        <xdr:to>
          <xdr:col>9</xdr:col>
          <xdr:colOff>617220</xdr:colOff>
          <xdr:row>8</xdr:row>
          <xdr:rowOff>144780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3</xdr:row>
          <xdr:rowOff>106680</xdr:rowOff>
        </xdr:from>
        <xdr:to>
          <xdr:col>1</xdr:col>
          <xdr:colOff>914400</xdr:colOff>
          <xdr:row>5</xdr:row>
          <xdr:rowOff>106680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15240</xdr:rowOff>
        </xdr:from>
        <xdr:to>
          <xdr:col>1</xdr:col>
          <xdr:colOff>914400</xdr:colOff>
          <xdr:row>7</xdr:row>
          <xdr:rowOff>182880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45720</xdr:rowOff>
        </xdr:from>
        <xdr:to>
          <xdr:col>1</xdr:col>
          <xdr:colOff>929640</xdr:colOff>
          <xdr:row>3</xdr:row>
          <xdr:rowOff>7620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236220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自動採番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7620</xdr:rowOff>
        </xdr:from>
        <xdr:to>
          <xdr:col>5</xdr:col>
          <xdr:colOff>7620</xdr:colOff>
          <xdr:row>8</xdr:row>
          <xdr:rowOff>198120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15240</xdr:rowOff>
        </xdr:from>
        <xdr:to>
          <xdr:col>9</xdr:col>
          <xdr:colOff>152400</xdr:colOff>
          <xdr:row>1</xdr:row>
          <xdr:rowOff>182880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初期設定ウィザード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7</xdr:row>
          <xdr:rowOff>30480</xdr:rowOff>
        </xdr:from>
        <xdr:to>
          <xdr:col>9</xdr:col>
          <xdr:colOff>411480</xdr:colOff>
          <xdr:row>9</xdr:row>
          <xdr:rowOff>7620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8</xdr:row>
          <xdr:rowOff>38100</xdr:rowOff>
        </xdr:from>
        <xdr:to>
          <xdr:col>9</xdr:col>
          <xdr:colOff>411480</xdr:colOff>
          <xdr:row>10</xdr:row>
          <xdr:rowOff>22860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7</xdr:row>
          <xdr:rowOff>22860</xdr:rowOff>
        </xdr:from>
        <xdr:to>
          <xdr:col>10</xdr:col>
          <xdr:colOff>7620</xdr:colOff>
          <xdr:row>9</xdr:row>
          <xdr:rowOff>7620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</xdr:row>
          <xdr:rowOff>30480</xdr:rowOff>
        </xdr:from>
        <xdr:to>
          <xdr:col>9</xdr:col>
          <xdr:colOff>1394460</xdr:colOff>
          <xdr:row>1</xdr:row>
          <xdr:rowOff>525780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10</xdr:row>
          <xdr:rowOff>30480</xdr:rowOff>
        </xdr:from>
        <xdr:to>
          <xdr:col>9</xdr:col>
          <xdr:colOff>411480</xdr:colOff>
          <xdr:row>12</xdr:row>
          <xdr:rowOff>7620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7620</xdr:rowOff>
        </xdr:from>
        <xdr:to>
          <xdr:col>3</xdr:col>
          <xdr:colOff>0</xdr:colOff>
          <xdr:row>29</xdr:row>
          <xdr:rowOff>220980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7620</xdr:colOff>
          <xdr:row>5</xdr:row>
          <xdr:rowOff>30480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7620</xdr:colOff>
          <xdr:row>6</xdr:row>
          <xdr:rowOff>68580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7620</xdr:rowOff>
        </xdr:from>
        <xdr:to>
          <xdr:col>4</xdr:col>
          <xdr:colOff>495300</xdr:colOff>
          <xdr:row>1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4</xdr:row>
          <xdr:rowOff>7620</xdr:rowOff>
        </xdr:from>
        <xdr:to>
          <xdr:col>1</xdr:col>
          <xdr:colOff>7620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</xdr:row>
          <xdr:rowOff>7620</xdr:rowOff>
        </xdr:from>
        <xdr:to>
          <xdr:col>1</xdr:col>
          <xdr:colOff>7620</xdr:colOff>
          <xdr:row>3</xdr:row>
          <xdr:rowOff>220980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1</xdr:col>
          <xdr:colOff>0</xdr:colOff>
          <xdr:row>6</xdr:row>
          <xdr:rowOff>220980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5</xdr:row>
          <xdr:rowOff>22860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2</xdr:row>
          <xdr:rowOff>7620</xdr:rowOff>
        </xdr:from>
        <xdr:to>
          <xdr:col>2</xdr:col>
          <xdr:colOff>617220</xdr:colOff>
          <xdr:row>2</xdr:row>
          <xdr:rowOff>289560</xdr:rowOff>
        </xdr:to>
        <xdr:sp macro="" textlink="">
          <xdr:nvSpPr>
            <xdr:cNvPr id="5137" name="perspective1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知技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259080</xdr:colOff>
          <xdr:row>2</xdr:row>
          <xdr:rowOff>274320</xdr:rowOff>
        </xdr:to>
        <xdr:sp macro="" textlink="">
          <xdr:nvSpPr>
            <xdr:cNvPr id="5138" name="perspective2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思判表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2</xdr:row>
          <xdr:rowOff>0</xdr:rowOff>
        </xdr:from>
        <xdr:to>
          <xdr:col>10</xdr:col>
          <xdr:colOff>213360</xdr:colOff>
          <xdr:row>2</xdr:row>
          <xdr:rowOff>274320</xdr:rowOff>
        </xdr:to>
        <xdr:sp macro="" textlink="">
          <xdr:nvSpPr>
            <xdr:cNvPr id="5139" name="perspective3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主体的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22860</xdr:rowOff>
        </xdr:from>
        <xdr:to>
          <xdr:col>12</xdr:col>
          <xdr:colOff>251460</xdr:colOff>
          <xdr:row>2</xdr:row>
          <xdr:rowOff>297180</xdr:rowOff>
        </xdr:to>
        <xdr:sp macro="" textlink="">
          <xdr:nvSpPr>
            <xdr:cNvPr id="5140" name="perspective4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22860</xdr:rowOff>
        </xdr:from>
        <xdr:to>
          <xdr:col>12</xdr:col>
          <xdr:colOff>251460</xdr:colOff>
          <xdr:row>2</xdr:row>
          <xdr:rowOff>297180</xdr:rowOff>
        </xdr:to>
        <xdr:sp macro="" textlink="">
          <xdr:nvSpPr>
            <xdr:cNvPr id="5141" name="perspective5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0</xdr:row>
          <xdr:rowOff>30480</xdr:rowOff>
        </xdr:from>
        <xdr:to>
          <xdr:col>3</xdr:col>
          <xdr:colOff>342900</xdr:colOff>
          <xdr:row>1</xdr:row>
          <xdr:rowOff>198120</xdr:rowOff>
        </xdr:to>
        <xdr:sp macro="" textlink="">
          <xdr:nvSpPr>
            <xdr:cNvPr id="5142" name="Update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0</xdr:row>
          <xdr:rowOff>30480</xdr:rowOff>
        </xdr:from>
        <xdr:to>
          <xdr:col>9</xdr:col>
          <xdr:colOff>228600</xdr:colOff>
          <xdr:row>1</xdr:row>
          <xdr:rowOff>198120</xdr:rowOff>
        </xdr:to>
        <xdr:sp macro="" textlink="">
          <xdr:nvSpPr>
            <xdr:cNvPr id="5143" name="Ope_result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評価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30480</xdr:rowOff>
        </xdr:from>
        <xdr:to>
          <xdr:col>6</xdr:col>
          <xdr:colOff>304800</xdr:colOff>
          <xdr:row>1</xdr:row>
          <xdr:rowOff>198120</xdr:rowOff>
        </xdr:to>
        <xdr:sp macro="" textlink="">
          <xdr:nvSpPr>
            <xdr:cNvPr id="5144" name="Delete_Sh_Subject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57647" y="1564005"/>
              <a:ext cx="2422208" cy="2712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19023" y="1554480"/>
              <a:ext cx="4195762" cy="2712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0</xdr:rowOff>
        </xdr:from>
        <xdr:to>
          <xdr:col>1</xdr:col>
          <xdr:colOff>754380</xdr:colOff>
          <xdr:row>3</xdr:row>
          <xdr:rowOff>7620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2141220</xdr:colOff>
          <xdr:row>0</xdr:row>
          <xdr:rowOff>7620</xdr:rowOff>
        </xdr:from>
        <xdr:to>
          <xdr:col>7</xdr:col>
          <xdr:colOff>0</xdr:colOff>
          <xdr:row>1</xdr:row>
          <xdr:rowOff>22860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1</xdr:row>
          <xdr:rowOff>160020</xdr:rowOff>
        </xdr:from>
        <xdr:to>
          <xdr:col>2</xdr:col>
          <xdr:colOff>144780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1</xdr:row>
          <xdr:rowOff>160020</xdr:rowOff>
        </xdr:from>
        <xdr:to>
          <xdr:col>4</xdr:col>
          <xdr:colOff>297180</xdr:colOff>
          <xdr:row>2</xdr:row>
          <xdr:rowOff>7620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160020</xdr:rowOff>
        </xdr:from>
        <xdr:to>
          <xdr:col>6</xdr:col>
          <xdr:colOff>403860</xdr:colOff>
          <xdr:row>2</xdr:row>
          <xdr:rowOff>7620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4</xdr:row>
          <xdr:rowOff>0</xdr:rowOff>
        </xdr:from>
        <xdr:to>
          <xdr:col>3</xdr:col>
          <xdr:colOff>678180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C0289-4BA8-4381-B988-115BF01A1BA2}" name="テーブル1" displayName="テーブル1" ref="B10:F50" totalsRowShown="0" headerRowDxfId="9" dataDxfId="8">
  <autoFilter ref="B10:F50" xr:uid="{395C0289-4BA8-4381-B988-115BF01A1BA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05CD077-0236-4A23-BF37-14A11B59E765}" name="コード" dataDxfId="7"/>
    <tableColumn id="2" xr3:uid="{F7E8E662-33B4-47A9-9359-85A24514C7E8}" name="姓" dataDxfId="6"/>
    <tableColumn id="3" xr3:uid="{3110AD64-18BF-4922-AE07-7459F82450A1}" name="名" dataDxfId="5"/>
    <tableColumn id="4" xr3:uid="{0FD6DF6B-FE62-4B6A-861B-43BE6D5EEE0A}" name="在籍開始日" dataDxfId="4"/>
    <tableColumn id="5" xr3:uid="{9FD53C1F-0F95-4BDF-BCAB-94D5AF50A2E3}" name="在籍終了日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16"/>
  <sheetViews>
    <sheetView workbookViewId="0">
      <selection activeCell="I11" sqref="I11"/>
    </sheetView>
  </sheetViews>
  <sheetFormatPr defaultColWidth="9" defaultRowHeight="16.2" x14ac:dyDescent="0.45"/>
  <cols>
    <col min="1" max="1" width="3.59765625" style="75" customWidth="1"/>
    <col min="2" max="2" width="12.59765625" style="75" customWidth="1"/>
    <col min="3" max="5" width="8.59765625" style="75" customWidth="1"/>
    <col min="6" max="6" width="10.59765625" style="75" customWidth="1"/>
    <col min="7" max="7" width="18.59765625" style="75" customWidth="1"/>
    <col min="8" max="8" width="12.59765625" style="75" customWidth="1"/>
    <col min="9" max="9" width="8.59765625" style="82" customWidth="1"/>
    <col min="10" max="10" width="8.59765625" style="75" customWidth="1"/>
    <col min="11" max="12" width="0" style="75" hidden="1" customWidth="1"/>
    <col min="13" max="16384" width="9" style="75"/>
  </cols>
  <sheetData>
    <row r="1" spans="1:13" ht="26.4" x14ac:dyDescent="0.45">
      <c r="A1" s="77" t="s">
        <v>47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x14ac:dyDescent="0.45">
      <c r="I2" s="75"/>
    </row>
    <row r="3" spans="1:13" x14ac:dyDescent="0.45">
      <c r="C3" s="75" t="str">
        <f>IF(COUNTA(Setting!B3:B20)&gt;0,"設定済（"&amp;COUNTA(Setting!B3:B20)&amp;"教科）","未設定")</f>
        <v>設定済（3教科）</v>
      </c>
      <c r="H3" s="75" t="str">
        <f>IF(COUNTIF(名簿!H11:H50,"NG")&gt;0,"未入力項目あり","OK")</f>
        <v>OK</v>
      </c>
      <c r="I3" s="75" t="str">
        <f>IF(H3="OK","","最初に名簿の登録が必要です。登録してください。")</f>
        <v/>
      </c>
    </row>
    <row r="4" spans="1:13" x14ac:dyDescent="0.45">
      <c r="I4" s="75"/>
    </row>
    <row r="5" spans="1:13" x14ac:dyDescent="0.45">
      <c r="C5" s="75" t="s">
        <v>184</v>
      </c>
      <c r="I5" s="75"/>
    </row>
    <row r="6" spans="1:13" x14ac:dyDescent="0.45">
      <c r="I6" s="75"/>
    </row>
    <row r="7" spans="1:13" x14ac:dyDescent="0.45">
      <c r="C7" s="75" t="s">
        <v>224</v>
      </c>
      <c r="I7" s="75"/>
    </row>
    <row r="8" spans="1:13" x14ac:dyDescent="0.45">
      <c r="C8" s="75" t="s">
        <v>225</v>
      </c>
      <c r="I8" s="75"/>
    </row>
    <row r="9" spans="1:13" ht="16.8" thickBot="1" x14ac:dyDescent="0.5"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</row>
    <row r="10" spans="1:13" x14ac:dyDescent="0.45">
      <c r="B10" s="79" t="s">
        <v>152</v>
      </c>
      <c r="C10" s="79" t="s">
        <v>74</v>
      </c>
      <c r="D10" s="79" t="s">
        <v>75</v>
      </c>
      <c r="E10" s="79" t="s">
        <v>0</v>
      </c>
      <c r="F10" s="79" t="s">
        <v>2</v>
      </c>
      <c r="G10" s="79" t="s">
        <v>80</v>
      </c>
      <c r="H10" s="79" t="s">
        <v>65</v>
      </c>
      <c r="I10" s="80" t="s">
        <v>81</v>
      </c>
      <c r="J10" s="79" t="s">
        <v>3</v>
      </c>
      <c r="K10" s="79" t="s">
        <v>82</v>
      </c>
      <c r="L10" s="79" t="s">
        <v>83</v>
      </c>
    </row>
    <row r="11" spans="1:13" x14ac:dyDescent="0.45">
      <c r="B11" s="134">
        <v>10010008</v>
      </c>
      <c r="C11" s="134" t="s">
        <v>99</v>
      </c>
      <c r="D11" s="134" t="s">
        <v>100</v>
      </c>
      <c r="E11" s="134" t="s">
        <v>14</v>
      </c>
      <c r="F11" s="134" t="s">
        <v>15</v>
      </c>
      <c r="G11" s="134" t="s">
        <v>136</v>
      </c>
      <c r="H11" s="134"/>
      <c r="I11" s="105"/>
      <c r="J11" s="134">
        <v>100</v>
      </c>
      <c r="K11" s="134">
        <v>30</v>
      </c>
      <c r="L11" s="134">
        <v>4</v>
      </c>
    </row>
    <row r="12" spans="1:13" x14ac:dyDescent="0.45">
      <c r="B12" s="134">
        <v>10010021</v>
      </c>
      <c r="C12" s="134" t="s">
        <v>120</v>
      </c>
      <c r="D12" s="134" t="s">
        <v>121</v>
      </c>
      <c r="E12" s="134" t="s">
        <v>139</v>
      </c>
      <c r="F12" s="134" t="s">
        <v>140</v>
      </c>
      <c r="G12" s="134" t="s">
        <v>138</v>
      </c>
      <c r="H12" s="134"/>
      <c r="I12" s="105"/>
      <c r="J12" s="134">
        <v>100</v>
      </c>
      <c r="K12" s="134">
        <v>43</v>
      </c>
      <c r="L12" s="134">
        <v>6</v>
      </c>
    </row>
    <row r="13" spans="1:13" x14ac:dyDescent="0.45">
      <c r="B13" s="134">
        <v>10010011</v>
      </c>
      <c r="C13" s="134" t="s">
        <v>105</v>
      </c>
      <c r="D13" s="134" t="s">
        <v>106</v>
      </c>
      <c r="E13" s="134" t="s">
        <v>145</v>
      </c>
      <c r="F13" s="134" t="s">
        <v>15</v>
      </c>
      <c r="G13" s="134" t="s">
        <v>144</v>
      </c>
      <c r="H13" s="134"/>
      <c r="I13" s="105"/>
      <c r="J13" s="134">
        <v>100</v>
      </c>
      <c r="K13" s="134">
        <v>33</v>
      </c>
      <c r="L13" s="134">
        <v>11</v>
      </c>
    </row>
    <row r="14" spans="1:13" x14ac:dyDescent="0.45">
      <c r="B14" s="134">
        <v>10010019</v>
      </c>
      <c r="C14" s="134" t="s">
        <v>117</v>
      </c>
      <c r="D14" s="134" t="s">
        <v>118</v>
      </c>
      <c r="E14" s="134" t="s">
        <v>145</v>
      </c>
      <c r="F14" s="134" t="s">
        <v>15</v>
      </c>
      <c r="G14" s="134" t="s">
        <v>144</v>
      </c>
      <c r="H14" s="134"/>
      <c r="I14" s="105"/>
      <c r="J14" s="134">
        <v>100</v>
      </c>
      <c r="K14" s="134">
        <v>41</v>
      </c>
      <c r="L14" s="134">
        <v>11</v>
      </c>
    </row>
    <row r="15" spans="1:13" x14ac:dyDescent="0.45">
      <c r="B15" s="134">
        <v>10010025</v>
      </c>
      <c r="C15" s="134" t="s">
        <v>126</v>
      </c>
      <c r="D15" s="134" t="s">
        <v>127</v>
      </c>
      <c r="E15" s="134" t="s">
        <v>145</v>
      </c>
      <c r="F15" s="134" t="s">
        <v>15</v>
      </c>
      <c r="G15" s="134" t="s">
        <v>144</v>
      </c>
      <c r="H15" s="134"/>
      <c r="I15" s="105"/>
      <c r="J15" s="134">
        <v>100</v>
      </c>
      <c r="K15" s="134">
        <v>47</v>
      </c>
      <c r="L15" s="134">
        <v>11</v>
      </c>
    </row>
    <row r="16" spans="1:13" x14ac:dyDescent="0.45">
      <c r="B16" s="134">
        <v>10010015</v>
      </c>
      <c r="C16" s="134" t="s">
        <v>112</v>
      </c>
      <c r="D16" s="134" t="s">
        <v>102</v>
      </c>
      <c r="E16" s="134" t="s">
        <v>14</v>
      </c>
      <c r="F16" s="134" t="s">
        <v>15</v>
      </c>
      <c r="G16" s="134" t="s">
        <v>146</v>
      </c>
      <c r="H16" s="134"/>
      <c r="I16" s="105"/>
      <c r="J16" s="134">
        <v>130</v>
      </c>
      <c r="K16" s="134">
        <v>37</v>
      </c>
      <c r="L16" s="134">
        <v>13</v>
      </c>
    </row>
  </sheetData>
  <sheetProtection algorithmName="SHA-512" hashValue="KjNhhS4nahFdC0uLBXlfVp+lrtMGSwJsEJYmrLnBtLwLHdqAD0MsV+hIWN85YhH7nGu3Wk7EN4DLRm8SwBTdhA==" saltValue="OrccR2wInZGmOZwSpIULMw==" spinCount="100000" sheet="1" objects="1"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6</xdr:col>
                    <xdr:colOff>22860</xdr:colOff>
                    <xdr:row>1</xdr:row>
                    <xdr:rowOff>22860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22860</xdr:colOff>
                    <xdr:row>6</xdr:row>
                    <xdr:rowOff>144780</xdr:rowOff>
                  </from>
                  <to>
                    <xdr:col>9</xdr:col>
                    <xdr:colOff>617220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0</xdr:col>
                    <xdr:colOff>121920</xdr:colOff>
                    <xdr:row>3</xdr:row>
                    <xdr:rowOff>106680</xdr:rowOff>
                  </from>
                  <to>
                    <xdr:col>1</xdr:col>
                    <xdr:colOff>914400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0</xdr:col>
                    <xdr:colOff>114300</xdr:colOff>
                    <xdr:row>6</xdr:row>
                    <xdr:rowOff>15240</xdr:rowOff>
                  </from>
                  <to>
                    <xdr:col>1</xdr:col>
                    <xdr:colOff>914400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owSetupForm">
                <anchor moveWithCells="1" sizeWithCells="1">
                  <from>
                    <xdr:col>0</xdr:col>
                    <xdr:colOff>160020</xdr:colOff>
                    <xdr:row>1</xdr:row>
                    <xdr:rowOff>45720</xdr:rowOff>
                  </from>
                  <to>
                    <xdr:col>1</xdr:col>
                    <xdr:colOff>929640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H79"/>
  <sheetViews>
    <sheetView workbookViewId="0">
      <selection activeCell="F12" sqref="F12"/>
    </sheetView>
  </sheetViews>
  <sheetFormatPr defaultColWidth="9" defaultRowHeight="16.2" x14ac:dyDescent="0.45"/>
  <cols>
    <col min="1" max="1" width="6.5" style="75" customWidth="1"/>
    <col min="2" max="3" width="8.59765625" style="75" customWidth="1"/>
    <col min="4" max="4" width="9" style="75"/>
    <col min="5" max="5" width="11" style="75" customWidth="1"/>
    <col min="6" max="6" width="10.8984375" style="75" customWidth="1"/>
    <col min="7" max="7" width="2.3984375" style="75" customWidth="1"/>
    <col min="8" max="16384" width="9" style="75"/>
  </cols>
  <sheetData>
    <row r="1" spans="1:8" ht="22.2" x14ac:dyDescent="0.45">
      <c r="A1" s="88" t="s">
        <v>76</v>
      </c>
      <c r="B1" s="76"/>
      <c r="C1" s="76"/>
      <c r="D1" s="76"/>
      <c r="E1" s="76"/>
      <c r="F1" s="76"/>
    </row>
    <row r="2" spans="1:8" x14ac:dyDescent="0.45">
      <c r="A2" s="75" t="s">
        <v>177</v>
      </c>
    </row>
    <row r="3" spans="1:8" x14ac:dyDescent="0.45">
      <c r="A3" s="75" t="s">
        <v>178</v>
      </c>
    </row>
    <row r="4" spans="1:8" x14ac:dyDescent="0.45">
      <c r="A4" s="75" t="s">
        <v>179</v>
      </c>
    </row>
    <row r="5" spans="1:8" x14ac:dyDescent="0.45">
      <c r="A5" s="75" t="s">
        <v>182</v>
      </c>
    </row>
    <row r="6" spans="1:8" x14ac:dyDescent="0.45">
      <c r="A6" s="75" t="s">
        <v>180</v>
      </c>
    </row>
    <row r="8" spans="1:8" ht="19.8" x14ac:dyDescent="0.45">
      <c r="E8" s="100" t="s">
        <v>77</v>
      </c>
      <c r="F8" s="102">
        <f>COUNTA($B$11:$B$79)</f>
        <v>30</v>
      </c>
    </row>
    <row r="10" spans="1:8" x14ac:dyDescent="0.45">
      <c r="A10" s="103"/>
      <c r="B10" s="104" t="s">
        <v>172</v>
      </c>
      <c r="C10" s="104" t="s">
        <v>173</v>
      </c>
      <c r="D10" s="104" t="s">
        <v>174</v>
      </c>
      <c r="E10" s="104" t="s">
        <v>175</v>
      </c>
      <c r="F10" s="104" t="s">
        <v>176</v>
      </c>
      <c r="H10" s="75" t="s">
        <v>183</v>
      </c>
    </row>
    <row r="11" spans="1:8" x14ac:dyDescent="0.45">
      <c r="B11" s="82">
        <v>10010001</v>
      </c>
      <c r="C11" s="82" t="s">
        <v>87</v>
      </c>
      <c r="D11" s="82" t="s">
        <v>88</v>
      </c>
      <c r="E11" s="106">
        <v>45748</v>
      </c>
      <c r="F11" s="82"/>
      <c r="H11" s="75" t="str">
        <f>IF(テーブル1[[#This Row],[姓]]="","",IF(AND(テーブル1[[#This Row],[コード]]&lt;&gt;"",テーブル1[[#This Row],[在籍開始日]]&lt;&gt;""),"OK","NG"))</f>
        <v>OK</v>
      </c>
    </row>
    <row r="12" spans="1:8" x14ac:dyDescent="0.45">
      <c r="B12" s="82">
        <v>10010002</v>
      </c>
      <c r="C12" s="82" t="s">
        <v>89</v>
      </c>
      <c r="D12" s="82" t="s">
        <v>90</v>
      </c>
      <c r="E12" s="106">
        <v>45748</v>
      </c>
      <c r="F12" s="106">
        <v>46003</v>
      </c>
      <c r="H12" s="75" t="str">
        <f>IF(テーブル1[[#This Row],[姓]]="","",IF(AND(テーブル1[[#This Row],[コード]]&lt;&gt;"",テーブル1[[#This Row],[在籍開始日]]&lt;&gt;""),"OK","NG"))</f>
        <v>OK</v>
      </c>
    </row>
    <row r="13" spans="1:8" x14ac:dyDescent="0.45">
      <c r="B13" s="82">
        <v>10010003</v>
      </c>
      <c r="C13" s="82" t="s">
        <v>91</v>
      </c>
      <c r="D13" s="82" t="s">
        <v>92</v>
      </c>
      <c r="E13" s="106">
        <v>45748</v>
      </c>
      <c r="F13" s="82"/>
      <c r="H13" s="75" t="str">
        <f>IF(テーブル1[[#This Row],[姓]]="","",IF(AND(テーブル1[[#This Row],[コード]]&lt;&gt;"",テーブル1[[#This Row],[在籍開始日]]&lt;&gt;""),"OK","NG"))</f>
        <v>OK</v>
      </c>
    </row>
    <row r="14" spans="1:8" x14ac:dyDescent="0.45">
      <c r="B14" s="82">
        <v>10010004</v>
      </c>
      <c r="C14" s="82" t="s">
        <v>93</v>
      </c>
      <c r="D14" s="82" t="s">
        <v>94</v>
      </c>
      <c r="E14" s="106">
        <v>45748</v>
      </c>
      <c r="F14" s="82"/>
      <c r="H14" s="75" t="str">
        <f>IF(テーブル1[[#This Row],[姓]]="","",IF(AND(テーブル1[[#This Row],[コード]]&lt;&gt;"",テーブル1[[#This Row],[在籍開始日]]&lt;&gt;""),"OK","NG"))</f>
        <v>OK</v>
      </c>
    </row>
    <row r="15" spans="1:8" x14ac:dyDescent="0.45">
      <c r="B15" s="82">
        <v>10010005</v>
      </c>
      <c r="C15" s="82" t="s">
        <v>95</v>
      </c>
      <c r="D15" s="82" t="s">
        <v>92</v>
      </c>
      <c r="E15" s="106">
        <v>45748</v>
      </c>
      <c r="F15" s="82"/>
      <c r="H15" s="75" t="str">
        <f>IF(テーブル1[[#This Row],[姓]]="","",IF(AND(テーブル1[[#This Row],[コード]]&lt;&gt;"",テーブル1[[#This Row],[在籍開始日]]&lt;&gt;""),"OK","NG"))</f>
        <v>OK</v>
      </c>
    </row>
    <row r="16" spans="1:8" x14ac:dyDescent="0.45">
      <c r="B16" s="82">
        <v>10010006</v>
      </c>
      <c r="C16" s="82" t="s">
        <v>96</v>
      </c>
      <c r="D16" s="82" t="s">
        <v>90</v>
      </c>
      <c r="E16" s="106">
        <v>45748</v>
      </c>
      <c r="F16" s="82"/>
      <c r="H16" s="75" t="str">
        <f>IF(テーブル1[[#This Row],[姓]]="","",IF(AND(テーブル1[[#This Row],[コード]]&lt;&gt;"",テーブル1[[#This Row],[在籍開始日]]&lt;&gt;""),"OK","NG"))</f>
        <v>OK</v>
      </c>
    </row>
    <row r="17" spans="2:8" x14ac:dyDescent="0.45">
      <c r="B17" s="82">
        <v>10010007</v>
      </c>
      <c r="C17" s="82" t="s">
        <v>97</v>
      </c>
      <c r="D17" s="82" t="s">
        <v>98</v>
      </c>
      <c r="E17" s="106">
        <v>45748</v>
      </c>
      <c r="F17" s="82"/>
      <c r="H17" s="75" t="str">
        <f>IF(テーブル1[[#This Row],[姓]]="","",IF(AND(テーブル1[[#This Row],[コード]]&lt;&gt;"",テーブル1[[#This Row],[在籍開始日]]&lt;&gt;""),"OK","NG"))</f>
        <v>OK</v>
      </c>
    </row>
    <row r="18" spans="2:8" x14ac:dyDescent="0.45">
      <c r="B18" s="82">
        <v>10010008</v>
      </c>
      <c r="C18" s="82" t="s">
        <v>99</v>
      </c>
      <c r="D18" s="82" t="s">
        <v>100</v>
      </c>
      <c r="E18" s="106">
        <v>45748</v>
      </c>
      <c r="F18" s="82"/>
      <c r="H18" s="75" t="str">
        <f>IF(テーブル1[[#This Row],[姓]]="","",IF(AND(テーブル1[[#This Row],[コード]]&lt;&gt;"",テーブル1[[#This Row],[在籍開始日]]&lt;&gt;""),"OK","NG"))</f>
        <v>OK</v>
      </c>
    </row>
    <row r="19" spans="2:8" x14ac:dyDescent="0.45">
      <c r="B19" s="82">
        <v>10010009</v>
      </c>
      <c r="C19" s="82" t="s">
        <v>101</v>
      </c>
      <c r="D19" s="82" t="s">
        <v>102</v>
      </c>
      <c r="E19" s="106">
        <v>45748</v>
      </c>
      <c r="F19" s="82"/>
      <c r="H19" s="75" t="str">
        <f>IF(テーブル1[[#This Row],[姓]]="","",IF(AND(テーブル1[[#This Row],[コード]]&lt;&gt;"",テーブル1[[#This Row],[在籍開始日]]&lt;&gt;""),"OK","NG"))</f>
        <v>OK</v>
      </c>
    </row>
    <row r="20" spans="2:8" x14ac:dyDescent="0.45">
      <c r="B20" s="82">
        <v>10010010</v>
      </c>
      <c r="C20" s="82" t="s">
        <v>103</v>
      </c>
      <c r="D20" s="82" t="s">
        <v>104</v>
      </c>
      <c r="E20" s="106">
        <v>45748</v>
      </c>
      <c r="F20" s="82"/>
      <c r="H20" s="75" t="str">
        <f>IF(テーブル1[[#This Row],[姓]]="","",IF(AND(テーブル1[[#This Row],[コード]]&lt;&gt;"",テーブル1[[#This Row],[在籍開始日]]&lt;&gt;""),"OK","NG"))</f>
        <v>OK</v>
      </c>
    </row>
    <row r="21" spans="2:8" x14ac:dyDescent="0.45">
      <c r="B21" s="82">
        <v>10010011</v>
      </c>
      <c r="C21" s="82" t="s">
        <v>105</v>
      </c>
      <c r="D21" s="82" t="s">
        <v>106</v>
      </c>
      <c r="E21" s="106">
        <v>45748</v>
      </c>
      <c r="F21" s="82"/>
      <c r="H21" s="75" t="str">
        <f>IF(テーブル1[[#This Row],[姓]]="","",IF(AND(テーブル1[[#This Row],[コード]]&lt;&gt;"",テーブル1[[#This Row],[在籍開始日]]&lt;&gt;""),"OK","NG"))</f>
        <v>OK</v>
      </c>
    </row>
    <row r="22" spans="2:8" x14ac:dyDescent="0.45">
      <c r="B22" s="82">
        <v>10010012</v>
      </c>
      <c r="C22" s="82" t="s">
        <v>107</v>
      </c>
      <c r="D22" s="82" t="s">
        <v>108</v>
      </c>
      <c r="E22" s="106">
        <v>45748</v>
      </c>
      <c r="F22" s="82"/>
      <c r="H22" s="75" t="str">
        <f>IF(テーブル1[[#This Row],[姓]]="","",IF(AND(テーブル1[[#This Row],[コード]]&lt;&gt;"",テーブル1[[#This Row],[在籍開始日]]&lt;&gt;""),"OK","NG"))</f>
        <v>OK</v>
      </c>
    </row>
    <row r="23" spans="2:8" x14ac:dyDescent="0.45">
      <c r="B23" s="82">
        <v>10010013</v>
      </c>
      <c r="C23" s="82" t="s">
        <v>109</v>
      </c>
      <c r="D23" s="82" t="s">
        <v>102</v>
      </c>
      <c r="E23" s="106">
        <v>45748</v>
      </c>
      <c r="F23" s="82"/>
      <c r="H23" s="75" t="str">
        <f>IF(テーブル1[[#This Row],[姓]]="","",IF(AND(テーブル1[[#This Row],[コード]]&lt;&gt;"",テーブル1[[#This Row],[在籍開始日]]&lt;&gt;""),"OK","NG"))</f>
        <v>OK</v>
      </c>
    </row>
    <row r="24" spans="2:8" x14ac:dyDescent="0.45">
      <c r="B24" s="82">
        <v>10010014</v>
      </c>
      <c r="C24" s="82" t="s">
        <v>110</v>
      </c>
      <c r="D24" s="82" t="s">
        <v>111</v>
      </c>
      <c r="E24" s="106">
        <v>45748</v>
      </c>
      <c r="F24" s="82"/>
      <c r="H24" s="75" t="str">
        <f>IF(テーブル1[[#This Row],[姓]]="","",IF(AND(テーブル1[[#This Row],[コード]]&lt;&gt;"",テーブル1[[#This Row],[在籍開始日]]&lt;&gt;""),"OK","NG"))</f>
        <v>OK</v>
      </c>
    </row>
    <row r="25" spans="2:8" x14ac:dyDescent="0.45">
      <c r="B25" s="82">
        <v>10010015</v>
      </c>
      <c r="C25" s="82" t="s">
        <v>112</v>
      </c>
      <c r="D25" s="82" t="s">
        <v>102</v>
      </c>
      <c r="E25" s="106">
        <v>45748</v>
      </c>
      <c r="F25" s="82"/>
      <c r="H25" s="75" t="str">
        <f>IF(テーブル1[[#This Row],[姓]]="","",IF(AND(テーブル1[[#This Row],[コード]]&lt;&gt;"",テーブル1[[#This Row],[在籍開始日]]&lt;&gt;""),"OK","NG"))</f>
        <v>OK</v>
      </c>
    </row>
    <row r="26" spans="2:8" x14ac:dyDescent="0.45">
      <c r="B26" s="82">
        <v>10010016</v>
      </c>
      <c r="C26" s="82" t="s">
        <v>113</v>
      </c>
      <c r="D26" s="82" t="s">
        <v>111</v>
      </c>
      <c r="E26" s="106">
        <v>45748</v>
      </c>
      <c r="F26" s="82"/>
      <c r="H26" s="75" t="str">
        <f>IF(テーブル1[[#This Row],[姓]]="","",IF(AND(テーブル1[[#This Row],[コード]]&lt;&gt;"",テーブル1[[#This Row],[在籍開始日]]&lt;&gt;""),"OK","NG"))</f>
        <v>OK</v>
      </c>
    </row>
    <row r="27" spans="2:8" x14ac:dyDescent="0.45">
      <c r="B27" s="82">
        <v>10010017</v>
      </c>
      <c r="C27" s="82" t="s">
        <v>114</v>
      </c>
      <c r="D27" s="82" t="s">
        <v>115</v>
      </c>
      <c r="E27" s="106">
        <v>45748</v>
      </c>
      <c r="F27" s="82"/>
      <c r="H27" s="75" t="str">
        <f>IF(テーブル1[[#This Row],[姓]]="","",IF(AND(テーブル1[[#This Row],[コード]]&lt;&gt;"",テーブル1[[#This Row],[在籍開始日]]&lt;&gt;""),"OK","NG"))</f>
        <v>OK</v>
      </c>
    </row>
    <row r="28" spans="2:8" x14ac:dyDescent="0.45">
      <c r="B28" s="82">
        <v>10010018</v>
      </c>
      <c r="C28" s="82" t="s">
        <v>116</v>
      </c>
      <c r="D28" s="82" t="s">
        <v>90</v>
      </c>
      <c r="E28" s="106">
        <v>45748</v>
      </c>
      <c r="F28" s="82"/>
      <c r="H28" s="75" t="str">
        <f>IF(テーブル1[[#This Row],[姓]]="","",IF(AND(テーブル1[[#This Row],[コード]]&lt;&gt;"",テーブル1[[#This Row],[在籍開始日]]&lt;&gt;""),"OK","NG"))</f>
        <v>OK</v>
      </c>
    </row>
    <row r="29" spans="2:8" x14ac:dyDescent="0.45">
      <c r="B29" s="82">
        <v>10010019</v>
      </c>
      <c r="C29" s="82" t="s">
        <v>117</v>
      </c>
      <c r="D29" s="82" t="s">
        <v>118</v>
      </c>
      <c r="E29" s="106">
        <v>45748</v>
      </c>
      <c r="F29" s="82"/>
      <c r="H29" s="75" t="str">
        <f>IF(テーブル1[[#This Row],[姓]]="","",IF(AND(テーブル1[[#This Row],[コード]]&lt;&gt;"",テーブル1[[#This Row],[在籍開始日]]&lt;&gt;""),"OK","NG"))</f>
        <v>OK</v>
      </c>
    </row>
    <row r="30" spans="2:8" x14ac:dyDescent="0.45">
      <c r="B30" s="82">
        <v>10010020</v>
      </c>
      <c r="C30" s="82" t="s">
        <v>119</v>
      </c>
      <c r="D30" s="82" t="s">
        <v>111</v>
      </c>
      <c r="E30" s="106">
        <v>45748</v>
      </c>
      <c r="F30" s="82"/>
      <c r="H30" s="75" t="str">
        <f>IF(テーブル1[[#This Row],[姓]]="","",IF(AND(テーブル1[[#This Row],[コード]]&lt;&gt;"",テーブル1[[#This Row],[在籍開始日]]&lt;&gt;""),"OK","NG"))</f>
        <v>OK</v>
      </c>
    </row>
    <row r="31" spans="2:8" x14ac:dyDescent="0.45">
      <c r="B31" s="82">
        <v>10010021</v>
      </c>
      <c r="C31" s="82" t="s">
        <v>120</v>
      </c>
      <c r="D31" s="82" t="s">
        <v>121</v>
      </c>
      <c r="E31" s="106">
        <v>45748</v>
      </c>
      <c r="F31" s="82"/>
      <c r="H31" s="75" t="str">
        <f>IF(テーブル1[[#This Row],[姓]]="","",IF(AND(テーブル1[[#This Row],[コード]]&lt;&gt;"",テーブル1[[#This Row],[在籍開始日]]&lt;&gt;""),"OK","NG"))</f>
        <v>OK</v>
      </c>
    </row>
    <row r="32" spans="2:8" x14ac:dyDescent="0.45">
      <c r="B32" s="82">
        <v>10010022</v>
      </c>
      <c r="C32" s="82" t="s">
        <v>122</v>
      </c>
      <c r="D32" s="82" t="s">
        <v>90</v>
      </c>
      <c r="E32" s="106">
        <v>45748</v>
      </c>
      <c r="F32" s="82"/>
      <c r="H32" s="75" t="str">
        <f>IF(テーブル1[[#This Row],[姓]]="","",IF(AND(テーブル1[[#This Row],[コード]]&lt;&gt;"",テーブル1[[#This Row],[在籍開始日]]&lt;&gt;""),"OK","NG"))</f>
        <v>OK</v>
      </c>
    </row>
    <row r="33" spans="2:8" x14ac:dyDescent="0.45">
      <c r="B33" s="82">
        <v>10010023</v>
      </c>
      <c r="C33" s="82" t="s">
        <v>123</v>
      </c>
      <c r="D33" s="82" t="s">
        <v>124</v>
      </c>
      <c r="E33" s="106">
        <v>45748</v>
      </c>
      <c r="F33" s="82"/>
      <c r="H33" s="75" t="str">
        <f>IF(テーブル1[[#This Row],[姓]]="","",IF(AND(テーブル1[[#This Row],[コード]]&lt;&gt;"",テーブル1[[#This Row],[在籍開始日]]&lt;&gt;""),"OK","NG"))</f>
        <v>OK</v>
      </c>
    </row>
    <row r="34" spans="2:8" x14ac:dyDescent="0.45">
      <c r="B34" s="82">
        <v>10010024</v>
      </c>
      <c r="C34" s="82" t="s">
        <v>125</v>
      </c>
      <c r="D34" s="82" t="s">
        <v>108</v>
      </c>
      <c r="E34" s="106">
        <v>45748</v>
      </c>
      <c r="F34" s="82"/>
      <c r="H34" s="75" t="str">
        <f>IF(テーブル1[[#This Row],[姓]]="","",IF(AND(テーブル1[[#This Row],[コード]]&lt;&gt;"",テーブル1[[#This Row],[在籍開始日]]&lt;&gt;""),"OK","NG"))</f>
        <v>OK</v>
      </c>
    </row>
    <row r="35" spans="2:8" x14ac:dyDescent="0.45">
      <c r="B35" s="82">
        <v>10010025</v>
      </c>
      <c r="C35" s="82" t="s">
        <v>126</v>
      </c>
      <c r="D35" s="82" t="s">
        <v>127</v>
      </c>
      <c r="E35" s="106">
        <v>45748</v>
      </c>
      <c r="F35" s="82"/>
      <c r="H35" s="75" t="str">
        <f>IF(テーブル1[[#This Row],[姓]]="","",IF(AND(テーブル1[[#This Row],[コード]]&lt;&gt;"",テーブル1[[#This Row],[在籍開始日]]&lt;&gt;""),"OK","NG"))</f>
        <v>OK</v>
      </c>
    </row>
    <row r="36" spans="2:8" x14ac:dyDescent="0.45">
      <c r="B36" s="82">
        <v>10010026</v>
      </c>
      <c r="C36" s="82" t="s">
        <v>128</v>
      </c>
      <c r="D36" s="82" t="s">
        <v>129</v>
      </c>
      <c r="E36" s="106">
        <v>45748</v>
      </c>
      <c r="F36" s="82"/>
      <c r="H36" s="75" t="str">
        <f>IF(テーブル1[[#This Row],[姓]]="","",IF(AND(テーブル1[[#This Row],[コード]]&lt;&gt;"",テーブル1[[#This Row],[在籍開始日]]&lt;&gt;""),"OK","NG"))</f>
        <v>OK</v>
      </c>
    </row>
    <row r="37" spans="2:8" x14ac:dyDescent="0.45">
      <c r="B37" s="82">
        <v>10010027</v>
      </c>
      <c r="C37" s="82" t="s">
        <v>130</v>
      </c>
      <c r="D37" s="82" t="s">
        <v>115</v>
      </c>
      <c r="E37" s="106">
        <v>45748</v>
      </c>
      <c r="F37" s="82"/>
      <c r="H37" s="75" t="str">
        <f>IF(テーブル1[[#This Row],[姓]]="","",IF(AND(テーブル1[[#This Row],[コード]]&lt;&gt;"",テーブル1[[#This Row],[在籍開始日]]&lt;&gt;""),"OK","NG"))</f>
        <v>OK</v>
      </c>
    </row>
    <row r="38" spans="2:8" x14ac:dyDescent="0.45">
      <c r="B38" s="82">
        <v>10010028</v>
      </c>
      <c r="C38" s="82" t="s">
        <v>131</v>
      </c>
      <c r="D38" s="82" t="s">
        <v>90</v>
      </c>
      <c r="E38" s="106">
        <v>45748</v>
      </c>
      <c r="F38" s="82"/>
      <c r="H38" s="75" t="str">
        <f>IF(テーブル1[[#This Row],[姓]]="","",IF(AND(テーブル1[[#This Row],[コード]]&lt;&gt;"",テーブル1[[#This Row],[在籍開始日]]&lt;&gt;""),"OK","NG"))</f>
        <v>OK</v>
      </c>
    </row>
    <row r="39" spans="2:8" x14ac:dyDescent="0.45">
      <c r="B39" s="82">
        <v>10010029</v>
      </c>
      <c r="C39" s="82" t="s">
        <v>132</v>
      </c>
      <c r="D39" s="82" t="s">
        <v>127</v>
      </c>
      <c r="E39" s="106">
        <v>45748</v>
      </c>
      <c r="F39" s="82"/>
      <c r="H39" s="75" t="str">
        <f>IF(テーブル1[[#This Row],[姓]]="","",IF(AND(テーブル1[[#This Row],[コード]]&lt;&gt;"",テーブル1[[#This Row],[在籍開始日]]&lt;&gt;""),"OK","NG"))</f>
        <v>OK</v>
      </c>
    </row>
    <row r="40" spans="2:8" x14ac:dyDescent="0.45">
      <c r="B40" s="82">
        <v>10010030</v>
      </c>
      <c r="C40" s="82" t="s">
        <v>133</v>
      </c>
      <c r="D40" s="82" t="s">
        <v>134</v>
      </c>
      <c r="E40" s="106">
        <v>45748</v>
      </c>
      <c r="F40" s="82"/>
      <c r="H40" s="75" t="str">
        <f>IF(テーブル1[[#This Row],[姓]]="","",IF(AND(テーブル1[[#This Row],[コード]]&lt;&gt;"",テーブル1[[#This Row],[在籍開始日]]&lt;&gt;""),"OK","NG"))</f>
        <v>OK</v>
      </c>
    </row>
    <row r="41" spans="2:8" x14ac:dyDescent="0.45">
      <c r="B41" s="82"/>
      <c r="C41" s="82"/>
      <c r="D41" s="82"/>
      <c r="E41" s="106"/>
      <c r="F41" s="82"/>
      <c r="H41" s="75" t="str">
        <f>IF(テーブル1[[#This Row],[姓]]="","",IF(AND(テーブル1[[#This Row],[コード]]&lt;&gt;"",テーブル1[[#This Row],[在籍開始日]]&lt;&gt;""),"OK","NG"))</f>
        <v/>
      </c>
    </row>
    <row r="42" spans="2:8" x14ac:dyDescent="0.45">
      <c r="B42" s="82"/>
      <c r="C42" s="82"/>
      <c r="D42" s="82"/>
      <c r="E42" s="106"/>
      <c r="F42" s="82"/>
      <c r="H42" s="75" t="str">
        <f>IF(テーブル1[[#This Row],[姓]]="","",IF(AND(テーブル1[[#This Row],[コード]]&lt;&gt;"",テーブル1[[#This Row],[在籍開始日]]&lt;&gt;""),"OK","NG"))</f>
        <v/>
      </c>
    </row>
    <row r="43" spans="2:8" x14ac:dyDescent="0.45">
      <c r="B43" s="82"/>
      <c r="C43" s="82"/>
      <c r="D43" s="82"/>
      <c r="E43" s="106"/>
      <c r="F43" s="82"/>
      <c r="H43" s="75" t="str">
        <f>IF(テーブル1[[#This Row],[姓]]="","",IF(AND(テーブル1[[#This Row],[コード]]&lt;&gt;"",テーブル1[[#This Row],[在籍開始日]]&lt;&gt;""),"OK","NG"))</f>
        <v/>
      </c>
    </row>
    <row r="44" spans="2:8" x14ac:dyDescent="0.45">
      <c r="B44" s="82"/>
      <c r="C44" s="82"/>
      <c r="D44" s="82"/>
      <c r="E44" s="106"/>
      <c r="F44" s="82"/>
      <c r="H44" s="75" t="str">
        <f>IF(テーブル1[[#This Row],[姓]]="","",IF(AND(テーブル1[[#This Row],[コード]]&lt;&gt;"",テーブル1[[#This Row],[在籍開始日]]&lt;&gt;""),"OK","NG"))</f>
        <v/>
      </c>
    </row>
    <row r="45" spans="2:8" x14ac:dyDescent="0.45">
      <c r="B45" s="82"/>
      <c r="C45" s="82"/>
      <c r="D45" s="82"/>
      <c r="E45" s="106"/>
      <c r="F45" s="82"/>
      <c r="H45" s="75" t="str">
        <f>IF(テーブル1[[#This Row],[姓]]="","",IF(AND(テーブル1[[#This Row],[コード]]&lt;&gt;"",テーブル1[[#This Row],[在籍開始日]]&lt;&gt;""),"OK","NG"))</f>
        <v/>
      </c>
    </row>
    <row r="46" spans="2:8" x14ac:dyDescent="0.45">
      <c r="B46" s="82"/>
      <c r="C46" s="82"/>
      <c r="D46" s="82"/>
      <c r="E46" s="106"/>
      <c r="F46" s="82"/>
      <c r="H46" s="75" t="str">
        <f>IF(テーブル1[[#This Row],[姓]]="","",IF(AND(テーブル1[[#This Row],[コード]]&lt;&gt;"",テーブル1[[#This Row],[在籍開始日]]&lt;&gt;""),"OK","NG"))</f>
        <v/>
      </c>
    </row>
    <row r="47" spans="2:8" x14ac:dyDescent="0.45">
      <c r="B47" s="82"/>
      <c r="C47" s="82"/>
      <c r="D47" s="82"/>
      <c r="E47" s="106"/>
      <c r="F47" s="82"/>
      <c r="H47" s="75" t="str">
        <f>IF(テーブル1[[#This Row],[姓]]="","",IF(AND(テーブル1[[#This Row],[コード]]&lt;&gt;"",テーブル1[[#This Row],[在籍開始日]]&lt;&gt;""),"OK","NG"))</f>
        <v/>
      </c>
    </row>
    <row r="48" spans="2:8" x14ac:dyDescent="0.45">
      <c r="B48" s="82"/>
      <c r="C48" s="82"/>
      <c r="D48" s="82"/>
      <c r="E48" s="106"/>
      <c r="F48" s="82"/>
      <c r="H48" s="75" t="str">
        <f>IF(テーブル1[[#This Row],[姓]]="","",IF(AND(テーブル1[[#This Row],[コード]]&lt;&gt;"",テーブル1[[#This Row],[在籍開始日]]&lt;&gt;""),"OK","NG"))</f>
        <v/>
      </c>
    </row>
    <row r="49" spans="2:8" x14ac:dyDescent="0.45">
      <c r="B49" s="82"/>
      <c r="C49" s="82"/>
      <c r="D49" s="82"/>
      <c r="E49" s="106"/>
      <c r="F49" s="82"/>
      <c r="H49" s="75" t="str">
        <f>IF(テーブル1[[#This Row],[姓]]="","",IF(AND(テーブル1[[#This Row],[コード]]&lt;&gt;"",テーブル1[[#This Row],[在籍開始日]]&lt;&gt;""),"OK","NG"))</f>
        <v/>
      </c>
    </row>
    <row r="50" spans="2:8" x14ac:dyDescent="0.45">
      <c r="B50" s="82"/>
      <c r="C50" s="82"/>
      <c r="D50" s="82"/>
      <c r="E50" s="106"/>
      <c r="F50" s="82"/>
      <c r="H50" s="75" t="str">
        <f>IF(テーブル1[[#This Row],[姓]]="","",IF(AND(テーブル1[[#This Row],[コード]]&lt;&gt;"",テーブル1[[#This Row],[在籍開始日]]&lt;&gt;""),"OK","NG"))</f>
        <v/>
      </c>
    </row>
    <row r="51" spans="2:8" x14ac:dyDescent="0.45">
      <c r="E51" s="101"/>
    </row>
    <row r="52" spans="2:8" x14ac:dyDescent="0.45">
      <c r="E52" s="101"/>
    </row>
    <row r="53" spans="2:8" x14ac:dyDescent="0.45">
      <c r="E53" s="101"/>
    </row>
    <row r="54" spans="2:8" x14ac:dyDescent="0.45">
      <c r="E54" s="101"/>
    </row>
    <row r="55" spans="2:8" x14ac:dyDescent="0.45">
      <c r="E55" s="101"/>
    </row>
    <row r="56" spans="2:8" x14ac:dyDescent="0.45">
      <c r="E56" s="101"/>
    </row>
    <row r="57" spans="2:8" x14ac:dyDescent="0.45">
      <c r="E57" s="101"/>
    </row>
    <row r="58" spans="2:8" x14ac:dyDescent="0.45">
      <c r="E58" s="101"/>
    </row>
    <row r="59" spans="2:8" x14ac:dyDescent="0.45">
      <c r="E59" s="101"/>
    </row>
    <row r="60" spans="2:8" x14ac:dyDescent="0.45">
      <c r="E60" s="101"/>
    </row>
    <row r="61" spans="2:8" x14ac:dyDescent="0.45">
      <c r="E61" s="101"/>
    </row>
    <row r="62" spans="2:8" x14ac:dyDescent="0.45">
      <c r="E62" s="101"/>
    </row>
    <row r="63" spans="2:8" x14ac:dyDescent="0.45">
      <c r="E63" s="101"/>
    </row>
    <row r="64" spans="2:8" x14ac:dyDescent="0.45">
      <c r="E64" s="101"/>
    </row>
    <row r="65" spans="5:5" x14ac:dyDescent="0.45">
      <c r="E65" s="101"/>
    </row>
    <row r="66" spans="5:5" x14ac:dyDescent="0.45">
      <c r="E66" s="101"/>
    </row>
    <row r="67" spans="5:5" x14ac:dyDescent="0.45">
      <c r="E67" s="101"/>
    </row>
    <row r="68" spans="5:5" x14ac:dyDescent="0.45">
      <c r="E68" s="101"/>
    </row>
    <row r="69" spans="5:5" x14ac:dyDescent="0.45">
      <c r="E69" s="101"/>
    </row>
    <row r="70" spans="5:5" x14ac:dyDescent="0.45">
      <c r="E70" s="101"/>
    </row>
    <row r="71" spans="5:5" x14ac:dyDescent="0.45">
      <c r="E71" s="101"/>
    </row>
    <row r="72" spans="5:5" x14ac:dyDescent="0.45">
      <c r="E72" s="101"/>
    </row>
    <row r="73" spans="5:5" x14ac:dyDescent="0.45">
      <c r="E73" s="101"/>
    </row>
    <row r="74" spans="5:5" x14ac:dyDescent="0.45">
      <c r="E74" s="101"/>
    </row>
    <row r="75" spans="5:5" x14ac:dyDescent="0.45">
      <c r="E75" s="101"/>
    </row>
    <row r="76" spans="5:5" x14ac:dyDescent="0.45">
      <c r="E76" s="101"/>
    </row>
    <row r="77" spans="5:5" x14ac:dyDescent="0.45">
      <c r="E77" s="101"/>
    </row>
    <row r="78" spans="5:5" x14ac:dyDescent="0.45">
      <c r="E78" s="101"/>
    </row>
    <row r="79" spans="5:5" x14ac:dyDescent="0.45">
      <c r="E79" s="101"/>
    </row>
  </sheetData>
  <sheetProtection algorithmName="SHA-512" hashValue="cjWLa6foAnbbbqlmQruIXbjWzKOEBzX0gyEOsrfTv2levpwxFze1/4ZT/guR7hquja48bhBb/Z30iLLi503vmw==" saltValue="8FtmfB3EmIrFgC51kg8uTQ==" spinCount="100000" sheet="1" objects="1" selectLockedCells="1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_namelist.saiban">
                <anchor moveWithCells="1" sizeWithCells="1">
                  <from>
                    <xdr:col>1</xdr:col>
                    <xdr:colOff>0</xdr:colOff>
                    <xdr:row>7</xdr:row>
                    <xdr:rowOff>236220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_namelist.SetEnrollmentStartDate">
                <anchor moveWithCells="1" sizeWithCells="1">
                  <from>
                    <xdr:col>4</xdr:col>
                    <xdr:colOff>0</xdr:colOff>
                    <xdr:row>8</xdr:row>
                    <xdr:rowOff>7620</xdr:rowOff>
                  </from>
                  <to>
                    <xdr:col>5</xdr:col>
                    <xdr:colOff>7620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howSetupForm">
                <anchor moveWithCells="1" sizeWithCells="1">
                  <from>
                    <xdr:col>7</xdr:col>
                    <xdr:colOff>22860</xdr:colOff>
                    <xdr:row>0</xdr:row>
                    <xdr:rowOff>15240</xdr:rowOff>
                  </from>
                  <to>
                    <xdr:col>9</xdr:col>
                    <xdr:colOff>152400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70"/>
  <sheetViews>
    <sheetView tabSelected="1" zoomScale="115" zoomScaleNormal="115" workbookViewId="0">
      <selection activeCell="H12" sqref="H12"/>
    </sheetView>
  </sheetViews>
  <sheetFormatPr defaultColWidth="0" defaultRowHeight="18" zeroHeight="1" x14ac:dyDescent="0.45"/>
  <cols>
    <col min="1" max="1" width="2.59765625" style="65" customWidth="1"/>
    <col min="2" max="2" width="9.5" style="64" customWidth="1"/>
    <col min="3" max="3" width="13.09765625" style="65" bestFit="1" customWidth="1"/>
    <col min="4" max="8" width="10" style="65" customWidth="1"/>
    <col min="9" max="9" width="10" style="116" customWidth="1"/>
    <col min="10" max="10" width="19.09765625" style="116" customWidth="1"/>
    <col min="11" max="11" width="24.3984375" style="116" customWidth="1"/>
    <col min="12" max="12" width="13.19921875" style="116" hidden="1" customWidth="1"/>
    <col min="13" max="13" width="9" style="116" hidden="1" customWidth="1"/>
    <col min="14" max="14" width="11.3984375" style="116" hidden="1" customWidth="1"/>
    <col min="15" max="22" width="9" style="116" hidden="1" customWidth="1"/>
    <col min="23" max="16384" width="9" style="65" hidden="1"/>
  </cols>
  <sheetData>
    <row r="1" spans="1:26" ht="6.75" customHeight="1" x14ac:dyDescent="0.45">
      <c r="A1" s="116"/>
      <c r="B1" s="117"/>
      <c r="C1" s="116"/>
      <c r="D1" s="116"/>
      <c r="E1" s="116"/>
      <c r="F1" s="116"/>
      <c r="G1" s="116"/>
      <c r="H1" s="116"/>
    </row>
    <row r="2" spans="1:26" ht="41.4" x14ac:dyDescent="1">
      <c r="A2" s="116"/>
      <c r="B2" s="118" t="s">
        <v>48</v>
      </c>
      <c r="C2" s="116"/>
      <c r="D2" s="116"/>
      <c r="E2" s="116"/>
      <c r="F2" s="116"/>
      <c r="G2" s="116"/>
      <c r="H2" s="116"/>
    </row>
    <row r="3" spans="1:26" ht="19.5" customHeight="1" x14ac:dyDescent="0.45">
      <c r="A3" s="116"/>
      <c r="B3" s="117" t="s">
        <v>49</v>
      </c>
      <c r="C3" s="116"/>
      <c r="D3" s="116"/>
      <c r="E3" s="116"/>
      <c r="F3" s="116"/>
      <c r="G3" s="116"/>
      <c r="H3" s="116"/>
    </row>
    <row r="4" spans="1:26" s="68" customFormat="1" ht="22.2" x14ac:dyDescent="0.55000000000000004">
      <c r="A4" s="119"/>
      <c r="B4" s="120"/>
      <c r="C4" s="121" t="s">
        <v>67</v>
      </c>
      <c r="D4" s="107"/>
      <c r="E4" s="73" t="s">
        <v>71</v>
      </c>
      <c r="F4" s="108"/>
      <c r="G4" s="125"/>
      <c r="H4" s="125"/>
      <c r="I4" s="125" t="s">
        <v>72</v>
      </c>
      <c r="J4" s="109">
        <v>46103</v>
      </c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67"/>
      <c r="X4" s="67"/>
      <c r="Y4" s="67"/>
      <c r="Z4" s="67"/>
    </row>
    <row r="5" spans="1:26" ht="3.75" customHeight="1" x14ac:dyDescent="0.45">
      <c r="A5" s="116"/>
      <c r="B5" s="117"/>
      <c r="C5" s="122"/>
      <c r="D5" s="132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70"/>
      <c r="X5" s="70"/>
      <c r="Y5" s="70"/>
      <c r="Z5" s="70"/>
    </row>
    <row r="6" spans="1:26" s="68" customFormat="1" ht="22.2" x14ac:dyDescent="0.55000000000000004">
      <c r="A6" s="119"/>
      <c r="B6" s="120"/>
      <c r="C6" s="121" t="s">
        <v>68</v>
      </c>
      <c r="D6" s="211"/>
      <c r="E6" s="211"/>
      <c r="F6" s="211"/>
      <c r="G6" s="211"/>
      <c r="H6" s="211"/>
      <c r="I6" s="211"/>
      <c r="J6" s="211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67"/>
      <c r="X6" s="67"/>
      <c r="Y6" s="67"/>
      <c r="Z6" s="67"/>
    </row>
    <row r="7" spans="1:26" ht="3.75" customHeight="1" x14ac:dyDescent="0.45">
      <c r="A7" s="116"/>
      <c r="B7" s="117"/>
      <c r="C7" s="122"/>
      <c r="D7" s="69"/>
      <c r="E7" s="70"/>
      <c r="F7" s="70"/>
      <c r="G7" s="70"/>
      <c r="H7" s="70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70"/>
      <c r="X7" s="70"/>
      <c r="Y7" s="70"/>
      <c r="Z7" s="70"/>
    </row>
    <row r="8" spans="1:26" s="68" customFormat="1" ht="22.2" x14ac:dyDescent="0.55000000000000004">
      <c r="A8" s="119"/>
      <c r="B8" s="120"/>
      <c r="C8" s="121" t="s">
        <v>69</v>
      </c>
      <c r="D8" s="111"/>
      <c r="E8" s="111"/>
      <c r="F8" s="111"/>
      <c r="G8" s="111"/>
      <c r="H8" s="111"/>
      <c r="I8" s="127"/>
      <c r="J8" s="133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67"/>
      <c r="X8" s="67"/>
      <c r="Y8" s="67"/>
      <c r="Z8" s="67"/>
    </row>
    <row r="9" spans="1:26" s="68" customFormat="1" ht="3.75" customHeight="1" x14ac:dyDescent="0.55000000000000004">
      <c r="A9" s="119"/>
      <c r="B9" s="120"/>
      <c r="C9" s="121"/>
      <c r="D9" s="71"/>
      <c r="E9" s="71"/>
      <c r="F9" s="71"/>
      <c r="G9" s="71"/>
      <c r="H9" s="71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67"/>
      <c r="X9" s="67"/>
      <c r="Y9" s="67"/>
      <c r="Z9" s="67"/>
    </row>
    <row r="10" spans="1:26" s="68" customFormat="1" ht="22.2" x14ac:dyDescent="0.55000000000000004">
      <c r="A10" s="119"/>
      <c r="B10" s="120"/>
      <c r="C10" s="121" t="s">
        <v>51</v>
      </c>
      <c r="D10" s="112"/>
      <c r="E10" s="112"/>
      <c r="F10" s="112"/>
      <c r="G10" s="112"/>
      <c r="H10" s="112"/>
      <c r="I10" s="127"/>
      <c r="J10" s="125"/>
      <c r="K10" s="125"/>
      <c r="L10" s="128" t="s">
        <v>171</v>
      </c>
      <c r="M10" s="133" t="b">
        <v>0</v>
      </c>
      <c r="N10" s="125"/>
      <c r="O10" s="125"/>
      <c r="P10" s="125"/>
      <c r="Q10" s="125"/>
      <c r="R10" s="125"/>
      <c r="S10" s="125"/>
      <c r="T10" s="125"/>
      <c r="U10" s="125"/>
      <c r="V10" s="125"/>
      <c r="W10" s="67"/>
      <c r="X10" s="67"/>
      <c r="Y10" s="67"/>
      <c r="Z10" s="67"/>
    </row>
    <row r="11" spans="1:26" s="68" customFormat="1" ht="3.75" customHeight="1" x14ac:dyDescent="0.55000000000000004">
      <c r="A11" s="119"/>
      <c r="B11" s="120"/>
      <c r="C11" s="121"/>
      <c r="D11" s="71"/>
      <c r="E11" s="71"/>
      <c r="F11" s="71"/>
      <c r="G11" s="71"/>
      <c r="H11" s="71"/>
      <c r="I11" s="127"/>
      <c r="J11" s="125"/>
      <c r="K11" s="125"/>
      <c r="L11" s="128"/>
      <c r="M11" s="133"/>
      <c r="N11" s="125"/>
      <c r="O11" s="125"/>
      <c r="P11" s="125"/>
      <c r="Q11" s="125"/>
      <c r="R11" s="125"/>
      <c r="S11" s="125"/>
      <c r="T11" s="125"/>
      <c r="U11" s="125"/>
      <c r="V11" s="125"/>
      <c r="W11" s="67"/>
      <c r="X11" s="67"/>
      <c r="Y11" s="67"/>
      <c r="Z11" s="67"/>
    </row>
    <row r="12" spans="1:26" s="68" customFormat="1" ht="25.5" customHeight="1" x14ac:dyDescent="0.55000000000000004">
      <c r="A12" s="119"/>
      <c r="B12" s="120"/>
      <c r="C12" s="121" t="s">
        <v>70</v>
      </c>
      <c r="D12" s="107"/>
      <c r="E12" s="110"/>
      <c r="F12" s="110"/>
      <c r="G12" s="111"/>
      <c r="H12" s="111"/>
      <c r="I12" s="127"/>
      <c r="J12" s="125"/>
      <c r="K12" s="125"/>
      <c r="L12" s="128" t="s">
        <v>52</v>
      </c>
      <c r="M12" s="133" t="b">
        <v>1</v>
      </c>
      <c r="N12" s="125">
        <f>IF(M12,1,0)</f>
        <v>1</v>
      </c>
      <c r="O12" s="125"/>
      <c r="P12" s="125"/>
      <c r="Q12" s="125"/>
      <c r="R12" s="125"/>
      <c r="S12" s="125"/>
      <c r="T12" s="125"/>
      <c r="U12" s="125"/>
      <c r="V12" s="125"/>
      <c r="W12" s="67"/>
      <c r="X12" s="67"/>
      <c r="Y12" s="67"/>
      <c r="Z12" s="67"/>
    </row>
    <row r="13" spans="1:26" s="68" customFormat="1" ht="3.75" customHeight="1" x14ac:dyDescent="0.55000000000000004">
      <c r="A13" s="119"/>
      <c r="B13" s="120"/>
      <c r="C13" s="121"/>
      <c r="D13" s="71"/>
      <c r="E13" s="71"/>
      <c r="F13" s="71"/>
      <c r="G13" s="71"/>
      <c r="H13" s="71"/>
      <c r="I13" s="127"/>
      <c r="J13" s="125"/>
      <c r="K13" s="125"/>
      <c r="L13" s="128"/>
      <c r="M13" s="133"/>
      <c r="N13" s="125"/>
      <c r="O13" s="125"/>
      <c r="P13" s="125"/>
      <c r="Q13" s="125"/>
      <c r="R13" s="125"/>
      <c r="S13" s="125"/>
      <c r="T13" s="125"/>
      <c r="U13" s="125"/>
      <c r="V13" s="125"/>
      <c r="W13" s="67"/>
      <c r="X13" s="67"/>
      <c r="Y13" s="67"/>
      <c r="Z13" s="67"/>
    </row>
    <row r="14" spans="1:26" s="68" customFormat="1" ht="24" customHeight="1" x14ac:dyDescent="0.55000000000000004">
      <c r="A14" s="119"/>
      <c r="B14" s="120"/>
      <c r="C14" s="121" t="s">
        <v>54</v>
      </c>
      <c r="D14" s="206"/>
      <c r="E14" s="206"/>
      <c r="F14" s="206"/>
      <c r="G14" s="206"/>
      <c r="H14" s="206"/>
      <c r="I14" s="127"/>
      <c r="J14" s="125"/>
      <c r="K14" s="125"/>
      <c r="L14" s="129" t="s">
        <v>62</v>
      </c>
      <c r="M14" s="133" t="b">
        <v>1</v>
      </c>
      <c r="N14" s="125">
        <f>IF(M14,1,0)</f>
        <v>1</v>
      </c>
      <c r="O14" s="125"/>
      <c r="P14" s="125"/>
      <c r="Q14" s="125"/>
      <c r="R14" s="125"/>
      <c r="S14" s="125"/>
      <c r="T14" s="125"/>
      <c r="U14" s="125"/>
      <c r="V14" s="125"/>
      <c r="W14" s="67"/>
      <c r="X14" s="67"/>
      <c r="Y14" s="67"/>
      <c r="Z14" s="67"/>
    </row>
    <row r="15" spans="1:26" s="68" customFormat="1" ht="3.75" customHeight="1" x14ac:dyDescent="0.55000000000000004">
      <c r="A15" s="119"/>
      <c r="B15" s="120"/>
      <c r="C15" s="121"/>
      <c r="D15" s="71"/>
      <c r="E15" s="71"/>
      <c r="F15" s="71"/>
      <c r="G15" s="71"/>
      <c r="H15" s="71"/>
      <c r="I15" s="127"/>
      <c r="J15" s="125"/>
      <c r="K15" s="125"/>
      <c r="L15" s="129"/>
      <c r="M15" s="133"/>
      <c r="N15" s="125"/>
      <c r="O15" s="125"/>
      <c r="P15" s="125"/>
      <c r="Q15" s="125"/>
      <c r="R15" s="125"/>
      <c r="S15" s="125"/>
      <c r="T15" s="125"/>
      <c r="U15" s="125"/>
      <c r="V15" s="125"/>
      <c r="W15" s="67"/>
      <c r="X15" s="67"/>
      <c r="Y15" s="67"/>
      <c r="Z15" s="67"/>
    </row>
    <row r="16" spans="1:26" s="68" customFormat="1" ht="25.5" customHeight="1" x14ac:dyDescent="0.55000000000000004">
      <c r="A16" s="119"/>
      <c r="B16" s="120"/>
      <c r="C16" s="121" t="s">
        <v>55</v>
      </c>
      <c r="D16" s="206"/>
      <c r="E16" s="206"/>
      <c r="F16" s="206"/>
      <c r="G16" s="206"/>
      <c r="H16" s="206"/>
      <c r="I16" s="127"/>
      <c r="J16" s="125"/>
      <c r="K16" s="125"/>
      <c r="L16" s="129" t="s">
        <v>63</v>
      </c>
      <c r="M16" s="133" t="b">
        <v>1</v>
      </c>
      <c r="N16" s="125">
        <f>IF(M16,1,0)</f>
        <v>1</v>
      </c>
      <c r="O16" s="125"/>
      <c r="P16" s="125"/>
      <c r="Q16" s="125"/>
      <c r="R16" s="125"/>
      <c r="S16" s="125"/>
      <c r="T16" s="125"/>
      <c r="U16" s="125"/>
      <c r="V16" s="125"/>
      <c r="W16" s="67"/>
      <c r="X16" s="67"/>
      <c r="Y16" s="67"/>
      <c r="Z16" s="67"/>
    </row>
    <row r="17" spans="1:26" s="68" customFormat="1" ht="3.75" customHeight="1" x14ac:dyDescent="0.55000000000000004">
      <c r="A17" s="119"/>
      <c r="B17" s="120"/>
      <c r="C17" s="121"/>
      <c r="D17" s="71"/>
      <c r="E17" s="71"/>
      <c r="F17" s="71"/>
      <c r="G17" s="71"/>
      <c r="H17" s="71"/>
      <c r="I17" s="127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67"/>
      <c r="X17" s="67"/>
      <c r="Y17" s="67"/>
      <c r="Z17" s="67"/>
    </row>
    <row r="18" spans="1:26" s="68" customFormat="1" ht="25.5" customHeight="1" x14ac:dyDescent="0.55000000000000004">
      <c r="A18" s="119"/>
      <c r="B18" s="120"/>
      <c r="C18" s="121" t="s">
        <v>53</v>
      </c>
      <c r="D18" s="207"/>
      <c r="E18" s="207"/>
      <c r="F18" s="207"/>
      <c r="G18" s="207"/>
      <c r="H18" s="207"/>
      <c r="I18" s="127"/>
      <c r="J18" s="125"/>
      <c r="K18" s="125"/>
      <c r="L18" s="125"/>
      <c r="M18" s="125"/>
      <c r="N18" s="125">
        <f>SUM(N16,N14,N12)</f>
        <v>3</v>
      </c>
      <c r="O18" s="125"/>
      <c r="P18" s="125"/>
      <c r="Q18" s="125"/>
      <c r="R18" s="125"/>
      <c r="S18" s="125"/>
      <c r="T18" s="125"/>
      <c r="U18" s="125"/>
      <c r="V18" s="125"/>
      <c r="W18" s="67"/>
      <c r="X18" s="67"/>
      <c r="Y18" s="67"/>
      <c r="Z18" s="67"/>
    </row>
    <row r="19" spans="1:26" s="68" customFormat="1" ht="3.75" customHeight="1" x14ac:dyDescent="0.55000000000000004">
      <c r="A19" s="119"/>
      <c r="B19" s="120"/>
      <c r="C19" s="121"/>
      <c r="D19" s="71"/>
      <c r="E19" s="71"/>
      <c r="F19" s="71"/>
      <c r="G19" s="71"/>
      <c r="H19" s="71"/>
      <c r="I19" s="127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67"/>
      <c r="X19" s="67"/>
      <c r="Y19" s="67"/>
      <c r="Z19" s="67"/>
    </row>
    <row r="20" spans="1:26" s="68" customFormat="1" ht="25.5" customHeight="1" x14ac:dyDescent="0.55000000000000004">
      <c r="A20" s="119"/>
      <c r="B20" s="120"/>
      <c r="C20" s="121" t="s">
        <v>56</v>
      </c>
      <c r="D20" s="208"/>
      <c r="E20" s="208"/>
      <c r="F20" s="208"/>
      <c r="G20" s="208"/>
      <c r="H20" s="208"/>
      <c r="I20" s="127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67"/>
      <c r="X20" s="67"/>
      <c r="Y20" s="67"/>
      <c r="Z20" s="67"/>
    </row>
    <row r="21" spans="1:26" s="68" customFormat="1" ht="3.75" customHeight="1" x14ac:dyDescent="0.55000000000000004">
      <c r="A21" s="119"/>
      <c r="B21" s="120"/>
      <c r="C21" s="121"/>
      <c r="D21" s="71"/>
      <c r="E21" s="71"/>
      <c r="F21" s="71"/>
      <c r="G21" s="71"/>
      <c r="H21" s="71"/>
      <c r="I21" s="127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67"/>
      <c r="X21" s="67"/>
      <c r="Y21" s="67"/>
      <c r="Z21" s="67"/>
    </row>
    <row r="22" spans="1:26" s="68" customFormat="1" ht="24" customHeight="1" x14ac:dyDescent="0.55000000000000004">
      <c r="A22" s="119" t="s">
        <v>57</v>
      </c>
      <c r="B22" s="120"/>
      <c r="C22" s="121" t="s">
        <v>58</v>
      </c>
      <c r="D22" s="209"/>
      <c r="E22" s="210"/>
      <c r="F22" s="210"/>
      <c r="G22" s="210"/>
      <c r="H22" s="210"/>
      <c r="I22" s="127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67"/>
      <c r="X22" s="67"/>
      <c r="Y22" s="67"/>
      <c r="Z22" s="67"/>
    </row>
    <row r="23" spans="1:26" s="68" customFormat="1" ht="3.75" customHeight="1" x14ac:dyDescent="0.55000000000000004">
      <c r="A23" s="119"/>
      <c r="B23" s="120"/>
      <c r="C23" s="121"/>
      <c r="D23" s="71"/>
      <c r="E23" s="71"/>
      <c r="F23" s="71"/>
      <c r="G23" s="71"/>
      <c r="H23" s="71"/>
      <c r="I23" s="130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67"/>
      <c r="X23" s="67"/>
      <c r="Y23" s="67"/>
      <c r="Z23" s="67"/>
    </row>
    <row r="24" spans="1:26" s="68" customFormat="1" ht="24" customHeight="1" x14ac:dyDescent="0.55000000000000004">
      <c r="A24" s="119"/>
      <c r="B24" s="120"/>
      <c r="C24" s="121" t="s">
        <v>59</v>
      </c>
      <c r="D24" s="72" t="str" cm="1">
        <f t="array" ref="D24">IF(D12="","",調整後配点計算(D12,D14,D18,D20))</f>
        <v/>
      </c>
      <c r="E24" s="72" t="str" cm="1">
        <f t="array" ref="E24">IF(E12="","",調整後配点計算(E12,E14,E18,E20))</f>
        <v/>
      </c>
      <c r="F24" s="72" t="str" cm="1">
        <f t="array" ref="F24">IF(F12="","",調整後配点計算(F12,F14,F18,F20))</f>
        <v/>
      </c>
      <c r="G24" s="72" t="str" cm="1">
        <f t="array" ref="G24">IF(G12="","",調整後配点計算(G12,G14,G18,G20))</f>
        <v/>
      </c>
      <c r="H24" s="72"/>
      <c r="I24" s="130"/>
      <c r="J24" s="125"/>
      <c r="K24" s="125"/>
      <c r="L24" s="119"/>
      <c r="M24" s="119"/>
      <c r="N24" s="119"/>
      <c r="O24" s="125"/>
      <c r="P24" s="125"/>
      <c r="Q24" s="125"/>
      <c r="R24" s="125"/>
      <c r="S24" s="125"/>
      <c r="T24" s="125"/>
      <c r="U24" s="125"/>
      <c r="V24" s="125"/>
      <c r="W24" s="67"/>
      <c r="X24" s="67"/>
      <c r="Y24" s="67"/>
      <c r="Z24" s="67"/>
    </row>
    <row r="25" spans="1:26" s="68" customFormat="1" ht="3.75" customHeight="1" x14ac:dyDescent="0.55000000000000004">
      <c r="A25" s="119"/>
      <c r="B25" s="120"/>
      <c r="C25" s="121"/>
      <c r="D25" s="71"/>
      <c r="E25" s="71"/>
      <c r="F25" s="71"/>
      <c r="G25" s="71"/>
      <c r="H25" s="71"/>
      <c r="I25" s="130"/>
      <c r="J25" s="125"/>
      <c r="K25" s="125"/>
      <c r="L25" s="119"/>
      <c r="M25" s="119"/>
      <c r="N25" s="119"/>
      <c r="O25" s="125"/>
      <c r="P25" s="125"/>
      <c r="Q25" s="125"/>
      <c r="R25" s="125"/>
      <c r="S25" s="125"/>
      <c r="T25" s="125"/>
      <c r="U25" s="125"/>
      <c r="V25" s="125"/>
      <c r="W25" s="67"/>
      <c r="X25" s="67"/>
      <c r="Y25" s="67"/>
      <c r="Z25" s="67"/>
    </row>
    <row r="26" spans="1:26" s="68" customFormat="1" ht="22.2" x14ac:dyDescent="0.55000000000000004">
      <c r="A26" s="119"/>
      <c r="B26" s="120"/>
      <c r="C26" s="121" t="s">
        <v>50</v>
      </c>
      <c r="D26" s="107"/>
      <c r="E26" s="110"/>
      <c r="F26" s="110"/>
      <c r="G26" s="110"/>
      <c r="H26" s="110"/>
      <c r="I26" s="130" t="s">
        <v>78</v>
      </c>
      <c r="J26" s="119"/>
      <c r="K26" s="125"/>
      <c r="L26" s="119"/>
      <c r="M26" s="119"/>
      <c r="N26" s="119"/>
      <c r="O26" s="125"/>
      <c r="P26" s="125"/>
      <c r="Q26" s="125"/>
      <c r="R26" s="125"/>
      <c r="S26" s="125"/>
      <c r="T26" s="125"/>
      <c r="U26" s="125"/>
      <c r="V26" s="125"/>
      <c r="W26" s="67"/>
      <c r="X26" s="67"/>
      <c r="Y26" s="67"/>
      <c r="Z26" s="67"/>
    </row>
    <row r="27" spans="1:26" s="68" customFormat="1" ht="3.75" customHeight="1" x14ac:dyDescent="0.55000000000000004">
      <c r="A27" s="119"/>
      <c r="B27" s="120"/>
      <c r="C27" s="116"/>
      <c r="D27" s="65"/>
      <c r="E27" s="67"/>
      <c r="F27" s="67"/>
      <c r="G27" s="67"/>
      <c r="H27" s="67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67"/>
      <c r="X27" s="67"/>
      <c r="Y27" s="67"/>
      <c r="Z27" s="67"/>
    </row>
    <row r="28" spans="1:26" s="68" customFormat="1" ht="23.25" hidden="1" customHeight="1" x14ac:dyDescent="0.55000000000000004">
      <c r="A28" s="119"/>
      <c r="B28" s="120"/>
      <c r="C28" s="121" t="s">
        <v>153</v>
      </c>
      <c r="D28" s="66"/>
      <c r="E28" s="66"/>
      <c r="F28" s="66"/>
      <c r="G28" s="66"/>
      <c r="H28" s="66"/>
      <c r="I28" s="130" t="s">
        <v>154</v>
      </c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67"/>
      <c r="X28" s="67"/>
      <c r="Y28" s="67"/>
      <c r="Z28" s="67"/>
    </row>
    <row r="29" spans="1:26" s="68" customFormat="1" ht="3.75" customHeight="1" thickBot="1" x14ac:dyDescent="0.6">
      <c r="A29" s="123"/>
      <c r="B29" s="124"/>
      <c r="C29" s="124"/>
      <c r="D29" s="74"/>
      <c r="E29" s="74"/>
      <c r="F29" s="74"/>
      <c r="G29" s="74"/>
      <c r="H29" s="74"/>
      <c r="I29" s="131"/>
      <c r="J29" s="131"/>
      <c r="K29" s="131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67"/>
      <c r="X29" s="67"/>
      <c r="Y29" s="67"/>
      <c r="Z29" s="67"/>
    </row>
    <row r="30" spans="1:26" x14ac:dyDescent="0.45">
      <c r="B30" s="65" t="s">
        <v>60</v>
      </c>
      <c r="C30" s="65" t="s">
        <v>61</v>
      </c>
      <c r="E30" s="70"/>
      <c r="F30" s="70"/>
      <c r="G30" s="70"/>
      <c r="H30" s="70"/>
      <c r="I30" s="126"/>
      <c r="J30" s="126"/>
    </row>
    <row r="31" spans="1:26" x14ac:dyDescent="0.45">
      <c r="B31" t="str">
        <f>名簿!C11&amp;""</f>
        <v>田中</v>
      </c>
      <c r="C31" t="str">
        <f>名簿!D11&amp;""</f>
        <v>雄介</v>
      </c>
      <c r="D31" s="113"/>
      <c r="E31" s="114"/>
      <c r="F31" s="114"/>
      <c r="G31" s="115"/>
      <c r="H31" s="115"/>
    </row>
    <row r="32" spans="1:26" x14ac:dyDescent="0.45">
      <c r="B32" t="str">
        <f>名簿!C12&amp;""</f>
        <v>佐藤</v>
      </c>
      <c r="C32" t="str">
        <f>名簿!D12&amp;""</f>
        <v>凛</v>
      </c>
      <c r="D32" s="113"/>
      <c r="E32" s="114"/>
      <c r="F32" s="114"/>
      <c r="G32" s="115"/>
      <c r="H32" s="115"/>
    </row>
    <row r="33" spans="2:8" x14ac:dyDescent="0.45">
      <c r="B33" t="str">
        <f>名簿!C13&amp;""</f>
        <v>鈴木</v>
      </c>
      <c r="C33" t="str">
        <f>名簿!D13&amp;""</f>
        <v>誠</v>
      </c>
      <c r="D33" s="113"/>
      <c r="E33" s="114"/>
      <c r="F33" s="114"/>
      <c r="G33" s="115"/>
      <c r="H33" s="115"/>
    </row>
    <row r="34" spans="2:8" x14ac:dyDescent="0.45">
      <c r="B34" t="str">
        <f>名簿!C14&amp;""</f>
        <v>高橋</v>
      </c>
      <c r="C34" t="str">
        <f>名簿!D14&amp;""</f>
        <v>美優</v>
      </c>
      <c r="D34" s="113"/>
      <c r="E34" s="114"/>
      <c r="F34" s="114"/>
      <c r="G34" s="115"/>
      <c r="H34" s="115"/>
    </row>
    <row r="35" spans="2:8" x14ac:dyDescent="0.45">
      <c r="B35" t="str">
        <f>名簿!C15&amp;""</f>
        <v>渡辺</v>
      </c>
      <c r="C35" t="str">
        <f>名簿!D15&amp;""</f>
        <v>誠</v>
      </c>
      <c r="D35" s="113"/>
      <c r="E35" s="114"/>
      <c r="F35" s="114"/>
      <c r="G35" s="115"/>
      <c r="H35" s="115"/>
    </row>
    <row r="36" spans="2:8" x14ac:dyDescent="0.45">
      <c r="B36" t="str">
        <f>名簿!C16&amp;""</f>
        <v>伊藤</v>
      </c>
      <c r="C36" t="str">
        <f>名簿!D16&amp;""</f>
        <v>凛</v>
      </c>
      <c r="D36" s="113"/>
      <c r="E36" s="114"/>
      <c r="F36" s="114"/>
      <c r="G36" s="115"/>
      <c r="H36" s="115"/>
    </row>
    <row r="37" spans="2:8" x14ac:dyDescent="0.45">
      <c r="B37" t="str">
        <f>名簿!C17&amp;""</f>
        <v>山本</v>
      </c>
      <c r="C37" t="str">
        <f>名簿!D17&amp;""</f>
        <v>太郎</v>
      </c>
      <c r="D37" s="113"/>
      <c r="E37" s="114"/>
      <c r="F37" s="114"/>
      <c r="G37" s="115"/>
      <c r="H37" s="115"/>
    </row>
    <row r="38" spans="2:8" x14ac:dyDescent="0.45">
      <c r="B38" t="str">
        <f>名簿!C18&amp;""</f>
        <v>中村</v>
      </c>
      <c r="C38" t="str">
        <f>名簿!D18&amp;""</f>
        <v>真央</v>
      </c>
      <c r="D38" s="113"/>
      <c r="E38" s="114"/>
      <c r="F38" s="114"/>
      <c r="G38" s="115"/>
      <c r="H38" s="115"/>
    </row>
    <row r="39" spans="2:8" x14ac:dyDescent="0.45">
      <c r="B39" t="str">
        <f>名簿!C19&amp;""</f>
        <v>小林</v>
      </c>
      <c r="C39" t="str">
        <f>名簿!D19&amp;""</f>
        <v>浩</v>
      </c>
      <c r="D39" s="113"/>
      <c r="E39" s="114"/>
      <c r="F39" s="114"/>
      <c r="G39" s="115"/>
      <c r="H39" s="115"/>
    </row>
    <row r="40" spans="2:8" x14ac:dyDescent="0.45">
      <c r="B40" t="str">
        <f>名簿!C20&amp;""</f>
        <v>加藤</v>
      </c>
      <c r="C40" t="str">
        <f>名簿!D20&amp;""</f>
        <v>さくら</v>
      </c>
      <c r="D40" s="113"/>
      <c r="E40" s="114"/>
      <c r="F40" s="114"/>
      <c r="G40" s="115"/>
      <c r="H40" s="115"/>
    </row>
    <row r="41" spans="2:8" x14ac:dyDescent="0.45">
      <c r="B41" t="str">
        <f>名簿!C21&amp;""</f>
        <v>吉田</v>
      </c>
      <c r="C41" t="str">
        <f>名簿!D21&amp;""</f>
        <v>亮</v>
      </c>
      <c r="D41" s="113"/>
      <c r="E41" s="114"/>
      <c r="F41" s="114"/>
      <c r="G41" s="115"/>
      <c r="H41" s="115"/>
    </row>
    <row r="42" spans="2:8" x14ac:dyDescent="0.45">
      <c r="B42" t="str">
        <f>名簿!C22&amp;""</f>
        <v>山田</v>
      </c>
      <c r="C42" t="str">
        <f>名簿!D22&amp;""</f>
        <v>愛</v>
      </c>
      <c r="D42" s="113"/>
      <c r="E42" s="114"/>
      <c r="F42" s="114"/>
      <c r="G42" s="115"/>
      <c r="H42" s="115"/>
    </row>
    <row r="43" spans="2:8" x14ac:dyDescent="0.45">
      <c r="B43" t="str">
        <f>名簿!C23&amp;""</f>
        <v>佐々木</v>
      </c>
      <c r="C43" t="str">
        <f>名簿!D23&amp;""</f>
        <v>浩</v>
      </c>
      <c r="D43" s="113"/>
      <c r="E43" s="114"/>
      <c r="F43" s="114"/>
      <c r="G43" s="115"/>
      <c r="H43" s="115"/>
    </row>
    <row r="44" spans="2:8" x14ac:dyDescent="0.45">
      <c r="B44" t="str">
        <f>名簿!C24&amp;""</f>
        <v>山口</v>
      </c>
      <c r="C44" t="str">
        <f>名簿!D24&amp;""</f>
        <v>結衣</v>
      </c>
      <c r="D44" s="113"/>
      <c r="E44" s="114"/>
      <c r="F44" s="114"/>
      <c r="G44" s="115"/>
      <c r="H44" s="115"/>
    </row>
    <row r="45" spans="2:8" x14ac:dyDescent="0.45">
      <c r="B45" t="str">
        <f>名簿!C25&amp;""</f>
        <v>松本</v>
      </c>
      <c r="C45" t="str">
        <f>名簿!D25&amp;""</f>
        <v>浩</v>
      </c>
      <c r="D45" s="113"/>
      <c r="E45" s="114"/>
      <c r="F45" s="114"/>
      <c r="G45" s="115"/>
      <c r="H45" s="115"/>
    </row>
    <row r="46" spans="2:8" x14ac:dyDescent="0.45">
      <c r="B46" t="str">
        <f>名簿!C26&amp;""</f>
        <v>井上</v>
      </c>
      <c r="C46" t="str">
        <f>名簿!D26&amp;""</f>
        <v>結衣</v>
      </c>
      <c r="D46" s="113"/>
      <c r="E46" s="114"/>
      <c r="F46" s="114"/>
      <c r="G46" s="115"/>
      <c r="H46" s="115"/>
    </row>
    <row r="47" spans="2:8" x14ac:dyDescent="0.45">
      <c r="B47" t="str">
        <f>名簿!C27&amp;""</f>
        <v>木村</v>
      </c>
      <c r="C47" t="str">
        <f>名簿!D27&amp;""</f>
        <v>学</v>
      </c>
      <c r="D47" s="113"/>
      <c r="E47" s="114"/>
      <c r="F47" s="114"/>
      <c r="G47" s="115"/>
      <c r="H47" s="115"/>
    </row>
    <row r="48" spans="2:8" x14ac:dyDescent="0.45">
      <c r="B48" t="str">
        <f>名簿!C28&amp;""</f>
        <v>林</v>
      </c>
      <c r="C48" t="str">
        <f>名簿!D28&amp;""</f>
        <v>凛</v>
      </c>
      <c r="D48" s="113"/>
      <c r="E48" s="114"/>
      <c r="F48" s="114"/>
      <c r="G48" s="115"/>
      <c r="H48" s="115"/>
    </row>
    <row r="49" spans="2:8" x14ac:dyDescent="0.45">
      <c r="B49" t="str">
        <f>名簿!C29&amp;""</f>
        <v>斎藤</v>
      </c>
      <c r="C49" t="str">
        <f>名簿!D29&amp;""</f>
        <v>翔太</v>
      </c>
      <c r="D49" s="113"/>
      <c r="E49" s="114"/>
      <c r="F49" s="114"/>
      <c r="G49" s="115"/>
      <c r="H49" s="115"/>
    </row>
    <row r="50" spans="2:8" x14ac:dyDescent="0.45">
      <c r="B50" t="str">
        <f>名簿!C30&amp;""</f>
        <v>清水</v>
      </c>
      <c r="C50" t="str">
        <f>名簿!D30&amp;""</f>
        <v>結衣</v>
      </c>
      <c r="D50" s="113"/>
      <c r="E50" s="114"/>
      <c r="F50" s="114"/>
      <c r="G50" s="115"/>
      <c r="H50" s="115"/>
    </row>
    <row r="51" spans="2:8" x14ac:dyDescent="0.45">
      <c r="B51" t="str">
        <f>名簿!C31&amp;""</f>
        <v>山崎</v>
      </c>
      <c r="C51" t="str">
        <f>名簿!D31&amp;""</f>
        <v>一郎</v>
      </c>
      <c r="D51" s="113"/>
      <c r="E51" s="114"/>
      <c r="F51" s="114"/>
      <c r="G51" s="115"/>
      <c r="H51" s="115"/>
    </row>
    <row r="52" spans="2:8" x14ac:dyDescent="0.45">
      <c r="B52" t="str">
        <f>名簿!C32&amp;""</f>
        <v>森</v>
      </c>
      <c r="C52" t="str">
        <f>名簿!D32&amp;""</f>
        <v>凛</v>
      </c>
      <c r="D52" s="113"/>
      <c r="E52" s="114"/>
      <c r="F52" s="114"/>
      <c r="G52" s="115"/>
      <c r="H52" s="115"/>
    </row>
    <row r="53" spans="2:8" x14ac:dyDescent="0.45">
      <c r="B53" t="str">
        <f>名簿!C33&amp;""</f>
        <v>池田</v>
      </c>
      <c r="C53" t="str">
        <f>名簿!D33&amp;""</f>
        <v>直樹</v>
      </c>
      <c r="D53" s="113"/>
      <c r="E53" s="114"/>
      <c r="F53" s="114"/>
      <c r="G53" s="115"/>
      <c r="H53" s="115"/>
    </row>
    <row r="54" spans="2:8" x14ac:dyDescent="0.45">
      <c r="B54" t="str">
        <f>名簿!C34&amp;""</f>
        <v>橋本</v>
      </c>
      <c r="C54" t="str">
        <f>名簿!D34&amp;""</f>
        <v>愛</v>
      </c>
      <c r="D54" s="113"/>
      <c r="E54" s="114"/>
      <c r="F54" s="114"/>
      <c r="G54" s="115"/>
      <c r="H54" s="115"/>
    </row>
    <row r="55" spans="2:8" x14ac:dyDescent="0.45">
      <c r="B55" t="str">
        <f>名簿!C35&amp;""</f>
        <v>阿部</v>
      </c>
      <c r="C55" t="str">
        <f>名簿!D35&amp;""</f>
        <v>健太</v>
      </c>
      <c r="D55" s="113"/>
      <c r="E55" s="114"/>
      <c r="F55" s="114"/>
      <c r="G55" s="115"/>
      <c r="H55" s="115"/>
    </row>
    <row r="56" spans="2:8" x14ac:dyDescent="0.45">
      <c r="B56" t="str">
        <f>名簿!C36&amp;""</f>
        <v>石川</v>
      </c>
      <c r="C56" t="str">
        <f>名簿!D36&amp;""</f>
        <v>陽菜</v>
      </c>
      <c r="D56" s="113"/>
      <c r="E56" s="114"/>
      <c r="F56" s="114"/>
      <c r="G56" s="115"/>
      <c r="H56" s="115"/>
    </row>
    <row r="57" spans="2:8" x14ac:dyDescent="0.45">
      <c r="B57" t="str">
        <f>名簿!C37&amp;""</f>
        <v>山下</v>
      </c>
      <c r="C57" t="str">
        <f>名簿!D37&amp;""</f>
        <v>学</v>
      </c>
      <c r="D57" s="113"/>
      <c r="E57" s="114"/>
      <c r="F57" s="114"/>
      <c r="G57" s="115"/>
      <c r="H57" s="115"/>
    </row>
    <row r="58" spans="2:8" x14ac:dyDescent="0.45">
      <c r="B58" t="str">
        <f>名簿!C38&amp;""</f>
        <v>中島</v>
      </c>
      <c r="C58" t="str">
        <f>名簿!D38&amp;""</f>
        <v>凛</v>
      </c>
      <c r="D58" s="113"/>
      <c r="E58" s="114"/>
      <c r="F58" s="114"/>
      <c r="G58" s="115"/>
      <c r="H58" s="115"/>
    </row>
    <row r="59" spans="2:8" x14ac:dyDescent="0.45">
      <c r="B59" t="str">
        <f>名簿!C39&amp;""</f>
        <v>石井</v>
      </c>
      <c r="C59" t="str">
        <f>名簿!D39&amp;""</f>
        <v>健太</v>
      </c>
      <c r="D59" s="113"/>
      <c r="E59" s="114"/>
      <c r="F59" s="114"/>
      <c r="G59" s="115"/>
      <c r="H59" s="115"/>
    </row>
    <row r="60" spans="2:8" x14ac:dyDescent="0.45">
      <c r="B60" t="str">
        <f>名簿!C40&amp;""</f>
        <v>小川</v>
      </c>
      <c r="C60" t="str">
        <f>名簿!D40&amp;""</f>
        <v>楓</v>
      </c>
      <c r="D60" s="113"/>
      <c r="E60" s="114"/>
      <c r="F60" s="114"/>
      <c r="G60" s="115"/>
      <c r="H60" s="115"/>
    </row>
    <row r="61" spans="2:8" x14ac:dyDescent="0.45">
      <c r="B61" t="str">
        <f>名簿!C41&amp;""</f>
        <v/>
      </c>
      <c r="C61" t="str">
        <f>名簿!D41&amp;""</f>
        <v/>
      </c>
      <c r="D61" s="114"/>
      <c r="E61" s="114"/>
      <c r="F61" s="114"/>
      <c r="G61" s="115"/>
      <c r="H61" s="115"/>
    </row>
    <row r="62" spans="2:8" x14ac:dyDescent="0.45">
      <c r="B62" t="str">
        <f>名簿!C42&amp;""</f>
        <v/>
      </c>
      <c r="C62" t="str">
        <f>名簿!D42&amp;""</f>
        <v/>
      </c>
      <c r="D62" s="114"/>
      <c r="E62" s="114"/>
      <c r="F62" s="114"/>
      <c r="G62" s="115"/>
      <c r="H62" s="115"/>
    </row>
    <row r="63" spans="2:8" x14ac:dyDescent="0.45">
      <c r="B63" t="str">
        <f>名簿!C43&amp;""</f>
        <v/>
      </c>
      <c r="C63" t="str">
        <f>名簿!D43&amp;""</f>
        <v/>
      </c>
      <c r="D63" s="114"/>
      <c r="E63" s="114"/>
      <c r="F63" s="114"/>
      <c r="G63" s="115"/>
      <c r="H63" s="115"/>
    </row>
    <row r="64" spans="2:8" x14ac:dyDescent="0.45">
      <c r="B64" t="str">
        <f>名簿!C44&amp;""</f>
        <v/>
      </c>
      <c r="C64" t="str">
        <f>名簿!D44&amp;""</f>
        <v/>
      </c>
      <c r="D64" s="114"/>
      <c r="E64" s="114"/>
      <c r="F64" s="114"/>
      <c r="G64" s="115"/>
      <c r="H64" s="115"/>
    </row>
    <row r="65" spans="2:8" x14ac:dyDescent="0.45">
      <c r="B65" t="str">
        <f>名簿!C45&amp;""</f>
        <v/>
      </c>
      <c r="C65" t="str">
        <f>名簿!D45&amp;""</f>
        <v/>
      </c>
      <c r="D65" s="114"/>
      <c r="E65" s="114"/>
      <c r="F65" s="114"/>
      <c r="G65" s="115"/>
      <c r="H65" s="115"/>
    </row>
    <row r="66" spans="2:8" x14ac:dyDescent="0.45">
      <c r="B66" t="str">
        <f>名簿!C46&amp;""</f>
        <v/>
      </c>
      <c r="C66" t="str">
        <f>名簿!D46&amp;""</f>
        <v/>
      </c>
      <c r="D66" s="114"/>
      <c r="E66" s="114"/>
      <c r="F66" s="114"/>
      <c r="G66" s="115"/>
      <c r="H66" s="115"/>
    </row>
    <row r="67" spans="2:8" x14ac:dyDescent="0.45">
      <c r="B67" t="str">
        <f>名簿!C47&amp;""</f>
        <v/>
      </c>
      <c r="C67" t="str">
        <f>名簿!D47&amp;""</f>
        <v/>
      </c>
      <c r="D67" s="114"/>
      <c r="E67" s="114"/>
      <c r="F67" s="114"/>
      <c r="G67" s="115"/>
      <c r="H67" s="115"/>
    </row>
    <row r="68" spans="2:8" x14ac:dyDescent="0.45">
      <c r="B68" t="str">
        <f>名簿!C48&amp;""</f>
        <v/>
      </c>
      <c r="C68" t="str">
        <f>名簿!D48&amp;""</f>
        <v/>
      </c>
      <c r="D68" s="114"/>
      <c r="E68" s="114"/>
      <c r="F68" s="114"/>
      <c r="G68" s="115"/>
      <c r="H68" s="115"/>
    </row>
    <row r="69" spans="2:8" x14ac:dyDescent="0.45">
      <c r="B69" t="str">
        <f>名簿!C49&amp;""</f>
        <v/>
      </c>
      <c r="C69" t="str">
        <f>名簿!D49&amp;""</f>
        <v/>
      </c>
      <c r="D69" s="114"/>
      <c r="E69" s="114"/>
      <c r="F69" s="114"/>
      <c r="G69" s="115"/>
      <c r="H69" s="115"/>
    </row>
    <row r="70" spans="2:8" x14ac:dyDescent="0.45">
      <c r="B70" t="str">
        <f>名簿!C50&amp;""</f>
        <v/>
      </c>
      <c r="C70" t="str">
        <f>名簿!D50&amp;""</f>
        <v/>
      </c>
      <c r="D70" s="114"/>
      <c r="E70" s="114"/>
      <c r="F70" s="114"/>
      <c r="G70" s="115"/>
      <c r="H70" s="115"/>
    </row>
  </sheetData>
  <sheetProtection algorithmName="SHA-512" hashValue="HqzXPOvxO3uFk+DZalmbf6Uukeygpl1WFoBjH/xDap/Kn/XmSRKUUEG0AtLuTPZOq6WO7GFyOAdZmLCkgIm+pQ==" saltValue="V8wsKO23WhnVDGr1C0Bx7Q==" spinCount="100000" sheet="1" objects="1" selectLockedCells="1"/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160020</xdr:colOff>
                    <xdr:row>7</xdr:row>
                    <xdr:rowOff>30480</xdr:rowOff>
                  </from>
                  <to>
                    <xdr:col>9</xdr:col>
                    <xdr:colOff>411480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160020</xdr:colOff>
                    <xdr:row>8</xdr:row>
                    <xdr:rowOff>38100</xdr:rowOff>
                  </from>
                  <to>
                    <xdr:col>9</xdr:col>
                    <xdr:colOff>411480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457200</xdr:colOff>
                    <xdr:row>7</xdr:row>
                    <xdr:rowOff>22860</xdr:rowOff>
                  </from>
                  <to>
                    <xdr:col>10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106680</xdr:colOff>
                    <xdr:row>1</xdr:row>
                    <xdr:rowOff>30480</xdr:rowOff>
                  </from>
                  <to>
                    <xdr:col>9</xdr:col>
                    <xdr:colOff>1394460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8</xdr:col>
                    <xdr:colOff>160020</xdr:colOff>
                    <xdr:row>10</xdr:row>
                    <xdr:rowOff>30480</xdr:rowOff>
                  </from>
                  <to>
                    <xdr:col>9</xdr:col>
                    <xdr:colOff>411480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7620</xdr:rowOff>
                  </from>
                  <to>
                    <xdr:col>3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workbookViewId="0">
      <selection activeCell="A25" sqref="A25"/>
    </sheetView>
  </sheetViews>
  <sheetFormatPr defaultColWidth="9" defaultRowHeight="16.2" x14ac:dyDescent="0.45"/>
  <cols>
    <col min="1" max="1" width="9.09765625" style="82" customWidth="1"/>
    <col min="2" max="2" width="8.59765625" style="82" customWidth="1"/>
    <col min="3" max="3" width="9.5" style="82" customWidth="1"/>
    <col min="4" max="26" width="6.59765625" style="82" customWidth="1"/>
    <col min="27" max="980" width="4.8984375" style="82" customWidth="1"/>
    <col min="981" max="16384" width="9" style="82"/>
  </cols>
  <sheetData>
    <row r="1" spans="1:795" s="151" customFormat="1" ht="22.2" x14ac:dyDescent="0.45">
      <c r="A1" s="139" t="s">
        <v>85</v>
      </c>
      <c r="B1" s="140"/>
      <c r="C1" s="140"/>
      <c r="AB1" s="82"/>
      <c r="AC1" s="82"/>
    </row>
    <row r="2" spans="1:795" s="151" customFormat="1" x14ac:dyDescent="0.45">
      <c r="AB2" s="82"/>
      <c r="AC2" s="82"/>
    </row>
    <row r="3" spans="1:795" s="153" customFormat="1" x14ac:dyDescent="0.45">
      <c r="A3" s="152" t="s">
        <v>170</v>
      </c>
      <c r="B3" s="151"/>
      <c r="AB3" s="141"/>
      <c r="AC3" s="141"/>
    </row>
    <row r="4" spans="1:795" s="141" customFormat="1" x14ac:dyDescent="0.45">
      <c r="A4" s="142"/>
      <c r="B4" s="142"/>
      <c r="C4" s="143" t="s">
        <v>7</v>
      </c>
    </row>
    <row r="5" spans="1:795" s="144" customFormat="1" x14ac:dyDescent="0.45">
      <c r="A5" s="142"/>
      <c r="B5" s="142" t="s">
        <v>169</v>
      </c>
      <c r="C5" s="143" t="s">
        <v>4</v>
      </c>
    </row>
    <row r="6" spans="1:795" x14ac:dyDescent="0.45">
      <c r="A6" s="142"/>
      <c r="B6" s="142" t="s">
        <v>169</v>
      </c>
      <c r="C6" s="143" t="s">
        <v>0</v>
      </c>
    </row>
    <row r="7" spans="1:795" x14ac:dyDescent="0.45">
      <c r="A7" s="142"/>
      <c r="B7" s="142"/>
      <c r="C7" s="143" t="s">
        <v>64</v>
      </c>
    </row>
    <row r="8" spans="1:795" ht="75.75" customHeight="1" x14ac:dyDescent="0.45">
      <c r="A8" s="142"/>
      <c r="B8" s="142"/>
      <c r="C8" s="143" t="s">
        <v>1</v>
      </c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5"/>
      <c r="BA8" s="145"/>
      <c r="BB8" s="145"/>
      <c r="BC8" s="145"/>
      <c r="BD8" s="145"/>
      <c r="BE8" s="145"/>
      <c r="BF8" s="145"/>
      <c r="BG8" s="145"/>
      <c r="BH8" s="145"/>
      <c r="BI8" s="145"/>
      <c r="BJ8" s="145"/>
      <c r="BK8" s="145"/>
      <c r="BL8" s="145"/>
      <c r="BM8" s="145"/>
      <c r="BN8" s="145"/>
      <c r="BO8" s="145"/>
      <c r="BP8" s="145"/>
      <c r="BQ8" s="145"/>
      <c r="BR8" s="145"/>
      <c r="BS8" s="145"/>
      <c r="BT8" s="145"/>
      <c r="BU8" s="145"/>
      <c r="BV8" s="145"/>
      <c r="BW8" s="145"/>
      <c r="BX8" s="145"/>
      <c r="BY8" s="145"/>
      <c r="BZ8" s="145"/>
      <c r="CA8" s="145"/>
      <c r="CB8" s="145"/>
      <c r="CC8" s="145"/>
      <c r="CD8" s="145"/>
      <c r="CE8" s="145"/>
      <c r="CF8" s="145"/>
      <c r="CG8" s="145"/>
      <c r="CH8" s="145"/>
      <c r="CI8" s="145"/>
      <c r="CJ8" s="145"/>
      <c r="CK8" s="145"/>
      <c r="CL8" s="145"/>
      <c r="CM8" s="145"/>
      <c r="CN8" s="145"/>
      <c r="CO8" s="145"/>
      <c r="CP8" s="145"/>
      <c r="CQ8" s="145"/>
      <c r="CR8" s="145"/>
      <c r="CS8" s="145"/>
      <c r="CT8" s="145"/>
      <c r="CU8" s="145"/>
      <c r="CV8" s="145"/>
      <c r="CW8" s="145"/>
      <c r="CX8" s="145"/>
      <c r="CY8" s="145"/>
      <c r="CZ8" s="145"/>
      <c r="DA8" s="145"/>
      <c r="DB8" s="145"/>
      <c r="DC8" s="145"/>
      <c r="DD8" s="145"/>
      <c r="DE8" s="145"/>
      <c r="DF8" s="145"/>
      <c r="DG8" s="145"/>
      <c r="DH8" s="145"/>
      <c r="DI8" s="145"/>
      <c r="DJ8" s="145"/>
      <c r="DK8" s="145"/>
      <c r="DL8" s="145"/>
      <c r="DM8" s="145"/>
      <c r="DN8" s="145"/>
      <c r="DO8" s="145"/>
      <c r="DP8" s="145"/>
      <c r="DQ8" s="145"/>
      <c r="DR8" s="145"/>
      <c r="DS8" s="145"/>
      <c r="DT8" s="145"/>
      <c r="DU8" s="145"/>
      <c r="DV8" s="145"/>
      <c r="DW8" s="145"/>
      <c r="DX8" s="145"/>
      <c r="DY8" s="145"/>
      <c r="DZ8" s="145"/>
      <c r="EA8" s="145"/>
      <c r="EB8" s="145"/>
      <c r="EC8" s="145"/>
      <c r="ED8" s="145"/>
      <c r="EE8" s="145"/>
      <c r="EF8" s="145"/>
      <c r="EG8" s="145"/>
      <c r="EH8" s="145"/>
      <c r="EI8" s="145"/>
      <c r="EJ8" s="145"/>
      <c r="EK8" s="145"/>
      <c r="EL8" s="145"/>
      <c r="EM8" s="145"/>
      <c r="EN8" s="145"/>
      <c r="EO8" s="145"/>
      <c r="EP8" s="145"/>
      <c r="EQ8" s="145"/>
      <c r="ER8" s="145"/>
      <c r="ES8" s="145"/>
      <c r="ET8" s="145"/>
      <c r="EU8" s="145"/>
      <c r="EV8" s="145"/>
      <c r="EW8" s="145"/>
      <c r="EX8" s="145"/>
      <c r="EY8" s="145"/>
      <c r="EZ8" s="145"/>
      <c r="FA8" s="145"/>
      <c r="FB8" s="145"/>
      <c r="FC8" s="145"/>
      <c r="FD8" s="145"/>
      <c r="FE8" s="145"/>
      <c r="FF8" s="145"/>
      <c r="FG8" s="145"/>
      <c r="FH8" s="145"/>
      <c r="FI8" s="145"/>
      <c r="FJ8" s="145"/>
      <c r="FK8" s="145"/>
      <c r="FL8" s="145"/>
      <c r="FM8" s="145"/>
      <c r="FN8" s="145"/>
      <c r="FO8" s="145"/>
      <c r="FP8" s="145"/>
      <c r="FQ8" s="145"/>
      <c r="FR8" s="145"/>
      <c r="FS8" s="145"/>
      <c r="FT8" s="145"/>
      <c r="FU8" s="145"/>
      <c r="FV8" s="145"/>
      <c r="FW8" s="145"/>
      <c r="FX8" s="145"/>
      <c r="FY8" s="145"/>
      <c r="FZ8" s="145"/>
      <c r="GA8" s="145"/>
      <c r="GB8" s="145"/>
      <c r="GC8" s="145"/>
      <c r="GD8" s="145"/>
      <c r="GE8" s="145"/>
      <c r="GF8" s="145"/>
      <c r="GG8" s="145"/>
      <c r="GH8" s="145"/>
      <c r="GI8" s="145"/>
      <c r="GJ8" s="145"/>
      <c r="GK8" s="145"/>
      <c r="GL8" s="145"/>
      <c r="GM8" s="145"/>
      <c r="GN8" s="145"/>
      <c r="GO8" s="145"/>
      <c r="GP8" s="145"/>
      <c r="GQ8" s="145"/>
      <c r="GR8" s="145"/>
      <c r="GS8" s="145"/>
      <c r="GT8" s="145"/>
      <c r="GU8" s="145"/>
      <c r="GV8" s="145"/>
      <c r="GW8" s="145"/>
      <c r="GX8" s="145"/>
      <c r="GY8" s="145"/>
      <c r="GZ8" s="145"/>
      <c r="HA8" s="145"/>
      <c r="HB8" s="145"/>
      <c r="HC8" s="145"/>
      <c r="HD8" s="145"/>
      <c r="HE8" s="145"/>
      <c r="HF8" s="145"/>
      <c r="HG8" s="145"/>
      <c r="HH8" s="145"/>
      <c r="HI8" s="145"/>
      <c r="HJ8" s="145"/>
      <c r="HK8" s="145"/>
      <c r="HL8" s="145"/>
      <c r="HM8" s="145"/>
      <c r="HN8" s="145"/>
      <c r="HO8" s="145"/>
      <c r="HP8" s="145"/>
      <c r="HQ8" s="145"/>
      <c r="HR8" s="145"/>
      <c r="HS8" s="145"/>
      <c r="HT8" s="145"/>
      <c r="HU8" s="145"/>
      <c r="HV8" s="145"/>
      <c r="HW8" s="145"/>
      <c r="HX8" s="145"/>
      <c r="HY8" s="145"/>
      <c r="HZ8" s="145"/>
      <c r="IA8" s="145"/>
      <c r="IB8" s="145"/>
      <c r="IC8" s="145"/>
      <c r="ID8" s="145"/>
      <c r="IE8" s="145"/>
      <c r="IF8" s="145"/>
      <c r="IG8" s="145"/>
      <c r="IH8" s="145"/>
      <c r="II8" s="145"/>
      <c r="IJ8" s="145"/>
      <c r="IK8" s="145"/>
      <c r="IL8" s="145"/>
      <c r="IM8" s="145"/>
      <c r="IN8" s="145"/>
      <c r="IO8" s="145"/>
      <c r="IP8" s="145"/>
      <c r="IQ8" s="145"/>
      <c r="IR8" s="145"/>
      <c r="IS8" s="145"/>
      <c r="IT8" s="145"/>
      <c r="IU8" s="145"/>
      <c r="IV8" s="145"/>
      <c r="IW8" s="145"/>
      <c r="IX8" s="145"/>
      <c r="IY8" s="145"/>
      <c r="IZ8" s="145"/>
      <c r="JA8" s="145"/>
      <c r="JB8" s="145"/>
      <c r="JC8" s="145"/>
      <c r="JD8" s="145"/>
      <c r="JE8" s="145"/>
      <c r="JF8" s="145"/>
      <c r="JG8" s="145"/>
      <c r="JH8" s="145"/>
      <c r="JI8" s="145"/>
      <c r="JJ8" s="145"/>
      <c r="JK8" s="145"/>
      <c r="JL8" s="145"/>
      <c r="JM8" s="145"/>
      <c r="JN8" s="145"/>
      <c r="JO8" s="145"/>
      <c r="JP8" s="145"/>
      <c r="JQ8" s="145"/>
      <c r="JR8" s="145"/>
      <c r="JS8" s="145"/>
      <c r="JT8" s="145"/>
      <c r="JU8" s="145"/>
      <c r="JV8" s="145"/>
      <c r="JW8" s="145"/>
      <c r="JX8" s="145"/>
      <c r="JY8" s="145"/>
      <c r="JZ8" s="145"/>
      <c r="KA8" s="145"/>
      <c r="KB8" s="145"/>
      <c r="KC8" s="145"/>
      <c r="KD8" s="145"/>
      <c r="KE8" s="145"/>
      <c r="KF8" s="145"/>
      <c r="KG8" s="145"/>
      <c r="KH8" s="145"/>
      <c r="KI8" s="145"/>
      <c r="KJ8" s="145"/>
      <c r="KK8" s="145"/>
      <c r="KL8" s="145"/>
      <c r="KM8" s="145"/>
      <c r="KN8" s="145"/>
      <c r="KO8" s="145"/>
      <c r="KP8" s="145"/>
      <c r="KQ8" s="145"/>
      <c r="KR8" s="145"/>
      <c r="KS8" s="145"/>
      <c r="KT8" s="145"/>
      <c r="KU8" s="145"/>
      <c r="KV8" s="145"/>
      <c r="KW8" s="145"/>
      <c r="KX8" s="145"/>
      <c r="KY8" s="145"/>
      <c r="KZ8" s="145"/>
      <c r="LA8" s="145"/>
      <c r="LB8" s="145"/>
      <c r="LC8" s="145"/>
      <c r="LD8" s="145"/>
      <c r="LE8" s="145"/>
      <c r="LF8" s="145"/>
      <c r="LG8" s="145"/>
      <c r="LH8" s="145"/>
      <c r="LI8" s="145"/>
      <c r="LJ8" s="145"/>
      <c r="LK8" s="145"/>
      <c r="LL8" s="145"/>
      <c r="LM8" s="145"/>
      <c r="LN8" s="145"/>
      <c r="LO8" s="145"/>
      <c r="LP8" s="145"/>
      <c r="LQ8" s="145"/>
      <c r="LR8" s="145"/>
      <c r="LS8" s="145"/>
      <c r="LT8" s="145"/>
      <c r="LU8" s="145"/>
      <c r="LV8" s="145"/>
      <c r="LW8" s="145"/>
      <c r="LX8" s="145"/>
      <c r="LY8" s="145"/>
      <c r="LZ8" s="145"/>
      <c r="MA8" s="145"/>
      <c r="MB8" s="145"/>
      <c r="MC8" s="145"/>
      <c r="MD8" s="145"/>
      <c r="ME8" s="145"/>
      <c r="MF8" s="145"/>
      <c r="MG8" s="145"/>
      <c r="MH8" s="145"/>
      <c r="MI8" s="145"/>
      <c r="MJ8" s="145"/>
      <c r="MK8" s="145"/>
      <c r="ML8" s="145"/>
      <c r="MM8" s="145"/>
      <c r="MN8" s="145"/>
      <c r="MO8" s="145"/>
      <c r="MP8" s="145"/>
      <c r="MQ8" s="145"/>
      <c r="MR8" s="145"/>
      <c r="MS8" s="145"/>
      <c r="MT8" s="145"/>
      <c r="MU8" s="145"/>
      <c r="MV8" s="145"/>
      <c r="MW8" s="145"/>
      <c r="MX8" s="145"/>
      <c r="MY8" s="145"/>
      <c r="MZ8" s="145"/>
      <c r="NA8" s="145"/>
      <c r="NB8" s="145"/>
      <c r="NC8" s="145"/>
      <c r="ND8" s="145"/>
      <c r="NE8" s="145"/>
      <c r="NF8" s="145"/>
      <c r="NG8" s="145"/>
      <c r="NH8" s="145"/>
      <c r="NI8" s="145"/>
      <c r="NJ8" s="145"/>
      <c r="NK8" s="145"/>
      <c r="NL8" s="145"/>
      <c r="NM8" s="145"/>
      <c r="NN8" s="145"/>
      <c r="NO8" s="145"/>
      <c r="NP8" s="145"/>
      <c r="NQ8" s="145"/>
      <c r="NR8" s="145"/>
      <c r="NS8" s="145"/>
      <c r="NT8" s="145"/>
      <c r="NU8" s="145"/>
      <c r="NV8" s="145"/>
      <c r="NW8" s="145"/>
      <c r="NX8" s="145"/>
      <c r="NY8" s="145"/>
      <c r="NZ8" s="145"/>
      <c r="OA8" s="145"/>
      <c r="OB8" s="145"/>
      <c r="OC8" s="145"/>
      <c r="OD8" s="145"/>
      <c r="OE8" s="145"/>
      <c r="OF8" s="145"/>
      <c r="OG8" s="145"/>
      <c r="OH8" s="145"/>
      <c r="OI8" s="145"/>
      <c r="OJ8" s="145"/>
      <c r="OK8" s="145"/>
      <c r="OL8" s="145"/>
      <c r="OM8" s="145"/>
      <c r="ON8" s="145"/>
      <c r="OO8" s="145"/>
      <c r="OP8" s="145"/>
      <c r="OQ8" s="145"/>
      <c r="OR8" s="145"/>
      <c r="OS8" s="145"/>
      <c r="OT8" s="145"/>
      <c r="OU8" s="145"/>
      <c r="OV8" s="145"/>
      <c r="OW8" s="145"/>
      <c r="OX8" s="145"/>
      <c r="OY8" s="145"/>
      <c r="OZ8" s="145"/>
      <c r="PA8" s="145"/>
      <c r="PB8" s="145"/>
      <c r="PC8" s="145"/>
      <c r="PD8" s="145"/>
      <c r="PE8" s="145"/>
      <c r="PF8" s="145"/>
      <c r="PG8" s="145"/>
      <c r="PH8" s="145"/>
      <c r="PI8" s="145"/>
      <c r="PJ8" s="145"/>
      <c r="PK8" s="145"/>
      <c r="PL8" s="145"/>
      <c r="PM8" s="145"/>
      <c r="PN8" s="145"/>
      <c r="PO8" s="145"/>
      <c r="PP8" s="145"/>
      <c r="PQ8" s="145"/>
      <c r="PR8" s="145"/>
      <c r="PS8" s="145"/>
      <c r="PT8" s="145"/>
      <c r="PU8" s="145"/>
      <c r="PV8" s="145"/>
      <c r="PW8" s="145"/>
      <c r="PX8" s="145"/>
      <c r="PY8" s="145"/>
      <c r="PZ8" s="145"/>
      <c r="QA8" s="145"/>
      <c r="QB8" s="145"/>
      <c r="QC8" s="145"/>
      <c r="QD8" s="145"/>
      <c r="QE8" s="145"/>
      <c r="QF8" s="145"/>
      <c r="QG8" s="145"/>
      <c r="QH8" s="145"/>
      <c r="QI8" s="145"/>
      <c r="QJ8" s="145"/>
      <c r="QK8" s="145"/>
      <c r="QL8" s="145"/>
      <c r="QM8" s="145"/>
      <c r="QN8" s="145"/>
      <c r="QO8" s="145"/>
      <c r="QP8" s="145"/>
      <c r="QQ8" s="145"/>
      <c r="QR8" s="145"/>
      <c r="QS8" s="145"/>
      <c r="QT8" s="145"/>
      <c r="QU8" s="145"/>
      <c r="QV8" s="145"/>
      <c r="QW8" s="145"/>
      <c r="QX8" s="145"/>
      <c r="QY8" s="145"/>
      <c r="QZ8" s="145"/>
      <c r="RA8" s="145"/>
      <c r="RB8" s="145"/>
      <c r="RC8" s="145"/>
      <c r="RD8" s="145"/>
      <c r="RE8" s="145"/>
      <c r="RF8" s="145"/>
      <c r="RG8" s="145"/>
      <c r="RH8" s="145"/>
      <c r="RI8" s="145"/>
      <c r="RJ8" s="145"/>
      <c r="RK8" s="145"/>
      <c r="RL8" s="145"/>
      <c r="RM8" s="145"/>
      <c r="RN8" s="145"/>
      <c r="RO8" s="145"/>
      <c r="RP8" s="145"/>
      <c r="RQ8" s="145"/>
      <c r="RR8" s="145"/>
      <c r="RS8" s="145"/>
      <c r="RT8" s="145"/>
      <c r="RU8" s="145"/>
      <c r="RV8" s="145"/>
      <c r="RW8" s="145"/>
      <c r="RX8" s="145"/>
      <c r="RY8" s="145"/>
      <c r="RZ8" s="145"/>
      <c r="SA8" s="145"/>
      <c r="SB8" s="145"/>
      <c r="SC8" s="145"/>
      <c r="SD8" s="145"/>
      <c r="SE8" s="145"/>
      <c r="SF8" s="145"/>
      <c r="SG8" s="145"/>
      <c r="SH8" s="145"/>
      <c r="SI8" s="145"/>
      <c r="SJ8" s="145"/>
      <c r="SK8" s="145"/>
      <c r="SL8" s="145"/>
      <c r="SM8" s="145"/>
      <c r="SN8" s="145"/>
      <c r="SO8" s="145"/>
      <c r="SP8" s="145"/>
      <c r="SQ8" s="145"/>
      <c r="SR8" s="145"/>
      <c r="SS8" s="145"/>
      <c r="ST8" s="145"/>
      <c r="SU8" s="145"/>
      <c r="SV8" s="145"/>
      <c r="SW8" s="145"/>
      <c r="SX8" s="145"/>
      <c r="SY8" s="145"/>
      <c r="SZ8" s="145"/>
      <c r="TA8" s="145"/>
      <c r="TB8" s="145"/>
      <c r="TC8" s="145"/>
      <c r="TD8" s="145"/>
      <c r="TE8" s="145"/>
      <c r="TF8" s="145"/>
      <c r="TG8" s="145"/>
      <c r="TH8" s="145"/>
      <c r="TI8" s="145"/>
      <c r="TJ8" s="145"/>
      <c r="TK8" s="145"/>
      <c r="TL8" s="145"/>
      <c r="TM8" s="145"/>
      <c r="TN8" s="145"/>
      <c r="TO8" s="145"/>
      <c r="TP8" s="145"/>
      <c r="TQ8" s="145"/>
      <c r="TR8" s="145"/>
      <c r="TS8" s="145"/>
      <c r="TT8" s="145"/>
      <c r="TU8" s="145"/>
      <c r="TV8" s="145"/>
      <c r="TW8" s="145"/>
      <c r="TX8" s="145"/>
      <c r="TY8" s="145"/>
      <c r="TZ8" s="145"/>
      <c r="UA8" s="145"/>
      <c r="UB8" s="145"/>
      <c r="UC8" s="145"/>
      <c r="UD8" s="145"/>
      <c r="UE8" s="145"/>
      <c r="UF8" s="145"/>
      <c r="UG8" s="145"/>
      <c r="UH8" s="145"/>
      <c r="UI8" s="145"/>
      <c r="UJ8" s="145"/>
      <c r="UK8" s="145"/>
      <c r="UL8" s="145"/>
      <c r="UM8" s="145"/>
      <c r="UN8" s="145"/>
      <c r="UO8" s="145"/>
      <c r="UP8" s="145"/>
      <c r="UQ8" s="145"/>
      <c r="UR8" s="145"/>
      <c r="US8" s="145"/>
      <c r="UT8" s="145"/>
      <c r="UU8" s="145"/>
      <c r="UV8" s="145"/>
      <c r="UW8" s="145"/>
      <c r="UX8" s="145"/>
      <c r="UY8" s="145"/>
      <c r="UZ8" s="145"/>
      <c r="VA8" s="145"/>
      <c r="VB8" s="145"/>
      <c r="VC8" s="145"/>
      <c r="VD8" s="145"/>
      <c r="VE8" s="145"/>
      <c r="VF8" s="145"/>
      <c r="VG8" s="145"/>
      <c r="VH8" s="145"/>
      <c r="VI8" s="145"/>
      <c r="VJ8" s="145"/>
      <c r="VK8" s="145"/>
      <c r="VL8" s="145"/>
      <c r="VM8" s="145"/>
      <c r="VN8" s="145"/>
      <c r="VO8" s="145"/>
      <c r="VP8" s="145"/>
      <c r="VQ8" s="145"/>
      <c r="VR8" s="145"/>
      <c r="VS8" s="145"/>
      <c r="VT8" s="145"/>
      <c r="VU8" s="145"/>
      <c r="VV8" s="145"/>
      <c r="VW8" s="145"/>
      <c r="VX8" s="145"/>
      <c r="VY8" s="145"/>
      <c r="VZ8" s="145"/>
      <c r="WA8" s="145"/>
      <c r="WB8" s="145"/>
      <c r="WC8" s="145"/>
      <c r="WD8" s="145"/>
      <c r="WE8" s="145"/>
      <c r="WF8" s="145"/>
      <c r="WG8" s="145"/>
      <c r="WH8" s="145"/>
      <c r="WI8" s="145"/>
      <c r="WJ8" s="145"/>
      <c r="WK8" s="145"/>
      <c r="WL8" s="145"/>
      <c r="WM8" s="145"/>
      <c r="WN8" s="145"/>
      <c r="WO8" s="145"/>
      <c r="WP8" s="145"/>
      <c r="WQ8" s="145"/>
      <c r="WR8" s="145"/>
      <c r="WS8" s="145"/>
      <c r="WT8" s="145"/>
      <c r="WU8" s="145"/>
      <c r="WV8" s="145"/>
      <c r="WW8" s="145"/>
      <c r="WX8" s="145"/>
      <c r="WY8" s="145"/>
      <c r="WZ8" s="145"/>
      <c r="XA8" s="145"/>
      <c r="XB8" s="145"/>
      <c r="XC8" s="145"/>
      <c r="XD8" s="145"/>
      <c r="XE8" s="145"/>
      <c r="XF8" s="145"/>
      <c r="XG8" s="145"/>
      <c r="XH8" s="145"/>
      <c r="XI8" s="145"/>
      <c r="XJ8" s="145"/>
      <c r="XK8" s="145"/>
      <c r="XL8" s="145"/>
      <c r="XM8" s="145"/>
      <c r="XN8" s="145"/>
      <c r="XO8" s="145"/>
      <c r="XP8" s="145"/>
      <c r="XQ8" s="145"/>
      <c r="XR8" s="145"/>
      <c r="XS8" s="145"/>
      <c r="XT8" s="145"/>
      <c r="XU8" s="145"/>
      <c r="XV8" s="145"/>
      <c r="XW8" s="145"/>
      <c r="XX8" s="145"/>
      <c r="XY8" s="145"/>
      <c r="XZ8" s="145"/>
      <c r="YA8" s="145"/>
      <c r="YB8" s="145"/>
      <c r="YC8" s="145"/>
      <c r="YD8" s="145"/>
      <c r="YE8" s="145"/>
      <c r="YF8" s="145"/>
      <c r="YG8" s="145"/>
      <c r="YH8" s="145"/>
      <c r="YI8" s="145"/>
      <c r="YJ8" s="145"/>
      <c r="YK8" s="145"/>
      <c r="YL8" s="145"/>
      <c r="YM8" s="145"/>
      <c r="YN8" s="145"/>
      <c r="YO8" s="145"/>
      <c r="YP8" s="145"/>
      <c r="YQ8" s="145"/>
      <c r="YR8" s="145"/>
      <c r="YS8" s="145"/>
      <c r="YT8" s="145"/>
      <c r="YU8" s="145"/>
      <c r="YV8" s="145"/>
      <c r="YW8" s="145"/>
      <c r="YX8" s="145"/>
      <c r="YY8" s="145"/>
      <c r="YZ8" s="145"/>
      <c r="ZA8" s="145"/>
      <c r="ZB8" s="145"/>
      <c r="ZC8" s="145"/>
      <c r="ZD8" s="145"/>
      <c r="ZE8" s="145"/>
      <c r="ZF8" s="145"/>
      <c r="ZG8" s="145"/>
      <c r="ZH8" s="145"/>
      <c r="ZI8" s="145"/>
      <c r="ZJ8" s="145"/>
      <c r="ZK8" s="145"/>
      <c r="ZL8" s="145"/>
      <c r="ZM8" s="145"/>
      <c r="ZN8" s="145"/>
      <c r="ZO8" s="145"/>
      <c r="ZP8" s="145"/>
      <c r="ZQ8" s="145"/>
      <c r="ZR8" s="145"/>
      <c r="ZS8" s="145"/>
      <c r="ZT8" s="145"/>
      <c r="ZU8" s="145"/>
      <c r="ZV8" s="145"/>
      <c r="ZW8" s="145"/>
      <c r="ZX8" s="145"/>
      <c r="ZY8" s="145"/>
      <c r="ZZ8" s="145"/>
      <c r="AAA8" s="145"/>
      <c r="AAB8" s="145"/>
      <c r="AAC8" s="145"/>
      <c r="AAD8" s="145"/>
      <c r="AAE8" s="145"/>
      <c r="AAF8" s="145"/>
      <c r="AAG8" s="145"/>
      <c r="AAH8" s="145"/>
      <c r="AAI8" s="145"/>
      <c r="AAJ8" s="145"/>
      <c r="AAK8" s="145"/>
      <c r="AAL8" s="145"/>
      <c r="AAM8" s="145"/>
      <c r="AAN8" s="145"/>
      <c r="AAO8" s="145"/>
      <c r="AAP8" s="145"/>
      <c r="AAQ8" s="145"/>
      <c r="AAR8" s="145"/>
      <c r="AAS8" s="145"/>
      <c r="AAT8" s="145"/>
      <c r="AAU8" s="145"/>
      <c r="AAV8" s="145"/>
      <c r="AAW8" s="145"/>
      <c r="AAX8" s="145"/>
      <c r="AAY8" s="145"/>
      <c r="AAZ8" s="145"/>
      <c r="ABA8" s="145"/>
      <c r="ABB8" s="145"/>
      <c r="ABC8" s="145"/>
      <c r="ABD8" s="145"/>
      <c r="ABE8" s="145"/>
      <c r="ABF8" s="145"/>
      <c r="ABG8" s="145"/>
      <c r="ABH8" s="145"/>
      <c r="ABI8" s="145"/>
      <c r="ABJ8" s="145"/>
      <c r="ABK8" s="145"/>
      <c r="ABL8" s="145"/>
      <c r="ABM8" s="145"/>
      <c r="ABN8" s="145"/>
      <c r="ABO8" s="145"/>
      <c r="ABP8" s="145"/>
      <c r="ABQ8" s="145"/>
      <c r="ABR8" s="145"/>
      <c r="ABS8" s="145"/>
      <c r="ABT8" s="145"/>
      <c r="ABU8" s="145"/>
      <c r="ABV8" s="145"/>
      <c r="ABW8" s="145"/>
      <c r="ABX8" s="145"/>
      <c r="ABY8" s="145"/>
      <c r="ABZ8" s="145"/>
      <c r="ACA8" s="145"/>
      <c r="ACB8" s="145"/>
      <c r="ACC8" s="145"/>
      <c r="ACD8" s="145"/>
      <c r="ACE8" s="145"/>
      <c r="ACF8" s="145"/>
      <c r="ACG8" s="145"/>
      <c r="ACH8" s="145"/>
      <c r="ACI8" s="145"/>
      <c r="ACJ8" s="145"/>
      <c r="ACK8" s="145"/>
      <c r="ACL8" s="145"/>
      <c r="ACM8" s="145"/>
      <c r="ACN8" s="145"/>
      <c r="ACO8" s="145"/>
      <c r="ACP8" s="145"/>
      <c r="ACQ8" s="145"/>
      <c r="ACR8" s="145"/>
      <c r="ACS8" s="145"/>
      <c r="ACT8" s="145"/>
      <c r="ACU8" s="145"/>
      <c r="ACV8" s="145"/>
      <c r="ACW8" s="145"/>
      <c r="ACX8" s="145"/>
      <c r="ACY8" s="145"/>
      <c r="ACZ8" s="145"/>
      <c r="ADA8" s="145"/>
      <c r="ADB8" s="145"/>
      <c r="ADC8" s="145"/>
      <c r="ADD8" s="145"/>
      <c r="ADE8" s="145"/>
      <c r="ADF8" s="145"/>
      <c r="ADG8" s="145"/>
      <c r="ADH8" s="145"/>
      <c r="ADI8" s="145"/>
      <c r="ADJ8" s="145"/>
      <c r="ADK8" s="145"/>
      <c r="ADL8" s="145"/>
      <c r="ADM8" s="145"/>
      <c r="ADN8" s="145"/>
      <c r="ADO8" s="145"/>
    </row>
    <row r="9" spans="1:795" x14ac:dyDescent="0.45">
      <c r="A9" s="142"/>
      <c r="B9" s="142"/>
      <c r="C9" s="143" t="s">
        <v>2</v>
      </c>
    </row>
    <row r="10" spans="1:795" x14ac:dyDescent="0.45">
      <c r="A10" s="146"/>
      <c r="B10" s="146"/>
      <c r="C10" s="147" t="s">
        <v>65</v>
      </c>
    </row>
    <row r="11" spans="1:795" x14ac:dyDescent="0.45">
      <c r="A11" s="148"/>
      <c r="B11" s="148"/>
      <c r="C11" s="149" t="s">
        <v>3</v>
      </c>
    </row>
    <row r="12" spans="1:795" hidden="1" x14ac:dyDescent="0.45">
      <c r="A12" s="148"/>
      <c r="B12" s="148"/>
      <c r="C12" s="149" t="s">
        <v>54</v>
      </c>
    </row>
    <row r="13" spans="1:795" hidden="1" x14ac:dyDescent="0.45">
      <c r="A13" s="148"/>
      <c r="B13" s="148"/>
      <c r="C13" s="149" t="s">
        <v>55</v>
      </c>
    </row>
    <row r="14" spans="1:795" hidden="1" x14ac:dyDescent="0.45">
      <c r="A14" s="148"/>
      <c r="B14" s="148"/>
      <c r="C14" s="149" t="s">
        <v>53</v>
      </c>
    </row>
    <row r="15" spans="1:795" hidden="1" x14ac:dyDescent="0.45">
      <c r="A15" s="148"/>
      <c r="B15" s="148"/>
      <c r="C15" s="149" t="s">
        <v>56</v>
      </c>
    </row>
    <row r="16" spans="1:795" hidden="1" x14ac:dyDescent="0.45">
      <c r="A16" s="148"/>
      <c r="B16" s="148"/>
      <c r="C16" s="149" t="s">
        <v>58</v>
      </c>
    </row>
    <row r="17" spans="1:29" x14ac:dyDescent="0.45">
      <c r="A17" s="148"/>
      <c r="B17" s="148"/>
      <c r="C17" s="149" t="s">
        <v>59</v>
      </c>
    </row>
    <row r="18" spans="1:29" x14ac:dyDescent="0.45">
      <c r="A18" s="157"/>
      <c r="B18" s="157"/>
      <c r="C18" s="158" t="s">
        <v>44</v>
      </c>
    </row>
    <row r="19" spans="1:29" hidden="1" x14ac:dyDescent="0.45">
      <c r="A19" s="159"/>
      <c r="B19" s="159"/>
      <c r="C19" s="160" t="s">
        <v>8</v>
      </c>
    </row>
    <row r="20" spans="1:29" hidden="1" x14ac:dyDescent="0.45">
      <c r="A20" s="159"/>
      <c r="B20" s="159"/>
      <c r="C20" s="160" t="s">
        <v>9</v>
      </c>
    </row>
    <row r="21" spans="1:29" hidden="1" x14ac:dyDescent="0.45">
      <c r="A21" s="159"/>
      <c r="B21" s="159"/>
      <c r="C21" s="160" t="s">
        <v>10</v>
      </c>
    </row>
    <row r="22" spans="1:29" ht="16.8" hidden="1" thickBot="1" x14ac:dyDescent="0.5">
      <c r="A22" s="161"/>
      <c r="B22" s="162"/>
      <c r="C22" s="161" t="s">
        <v>12</v>
      </c>
    </row>
    <row r="23" spans="1:29" s="154" customFormat="1" x14ac:dyDescent="0.4">
      <c r="A23" s="150" t="str">
        <f>名簿!B11&amp;""</f>
        <v>10010001</v>
      </c>
      <c r="B23" s="150" t="str">
        <f>名簿!C11&amp;""</f>
        <v>田中</v>
      </c>
      <c r="C23" s="150" t="str">
        <f>名簿!D11&amp;""</f>
        <v>雄介</v>
      </c>
      <c r="AB23" s="176"/>
      <c r="AC23" s="176"/>
    </row>
    <row r="24" spans="1:29" x14ac:dyDescent="0.4">
      <c r="A24" s="150" t="str">
        <f>名簿!B12&amp;""</f>
        <v>10010002</v>
      </c>
      <c r="B24" s="150" t="str">
        <f>名簿!C12&amp;""</f>
        <v>佐藤</v>
      </c>
      <c r="C24" s="150" t="str">
        <f>名簿!D12&amp;""</f>
        <v>凛</v>
      </c>
      <c r="AB24" s="177"/>
      <c r="AC24" s="177"/>
    </row>
    <row r="25" spans="1:29" x14ac:dyDescent="0.4">
      <c r="A25" s="150" t="str">
        <f>名簿!B13&amp;""</f>
        <v>10010003</v>
      </c>
      <c r="B25" s="150" t="str">
        <f>名簿!C13&amp;""</f>
        <v>鈴木</v>
      </c>
      <c r="C25" s="150" t="str">
        <f>名簿!D13&amp;""</f>
        <v>誠</v>
      </c>
      <c r="AB25" s="177"/>
      <c r="AC25" s="177"/>
    </row>
    <row r="26" spans="1:29" x14ac:dyDescent="0.4">
      <c r="A26" s="150" t="str">
        <f>名簿!B14&amp;""</f>
        <v>10010004</v>
      </c>
      <c r="B26" s="150" t="str">
        <f>名簿!C14&amp;""</f>
        <v>高橋</v>
      </c>
      <c r="C26" s="150" t="str">
        <f>名簿!D14&amp;""</f>
        <v>美優</v>
      </c>
      <c r="AB26" s="177"/>
      <c r="AC26" s="177"/>
    </row>
    <row r="27" spans="1:29" x14ac:dyDescent="0.4">
      <c r="A27" s="150" t="str">
        <f>名簿!B15&amp;""</f>
        <v>10010005</v>
      </c>
      <c r="B27" s="150" t="str">
        <f>名簿!C15&amp;""</f>
        <v>渡辺</v>
      </c>
      <c r="C27" s="150" t="str">
        <f>名簿!D15&amp;""</f>
        <v>誠</v>
      </c>
      <c r="AB27" s="177"/>
      <c r="AC27" s="177"/>
    </row>
    <row r="28" spans="1:29" x14ac:dyDescent="0.4">
      <c r="A28" s="150" t="str">
        <f>名簿!B16&amp;""</f>
        <v>10010006</v>
      </c>
      <c r="B28" s="150" t="str">
        <f>名簿!C16&amp;""</f>
        <v>伊藤</v>
      </c>
      <c r="C28" s="150" t="str">
        <f>名簿!D16&amp;""</f>
        <v>凛</v>
      </c>
      <c r="AB28" s="177"/>
      <c r="AC28" s="177"/>
    </row>
    <row r="29" spans="1:29" x14ac:dyDescent="0.4">
      <c r="A29" s="150" t="str">
        <f>名簿!B17&amp;""</f>
        <v>10010007</v>
      </c>
      <c r="B29" s="150" t="str">
        <f>名簿!C17&amp;""</f>
        <v>山本</v>
      </c>
      <c r="C29" s="150" t="str">
        <f>名簿!D17&amp;""</f>
        <v>太郎</v>
      </c>
      <c r="AB29" s="177"/>
      <c r="AC29" s="177"/>
    </row>
    <row r="30" spans="1:29" x14ac:dyDescent="0.4">
      <c r="A30" s="150" t="str">
        <f>名簿!B18&amp;""</f>
        <v>10010008</v>
      </c>
      <c r="B30" s="150" t="str">
        <f>名簿!C18&amp;""</f>
        <v>中村</v>
      </c>
      <c r="C30" s="150" t="str">
        <f>名簿!D18&amp;""</f>
        <v>真央</v>
      </c>
      <c r="AB30" s="177"/>
      <c r="AC30" s="177"/>
    </row>
    <row r="31" spans="1:29" x14ac:dyDescent="0.4">
      <c r="A31" s="150" t="str">
        <f>名簿!B19&amp;""</f>
        <v>10010009</v>
      </c>
      <c r="B31" s="150" t="str">
        <f>名簿!C19&amp;""</f>
        <v>小林</v>
      </c>
      <c r="C31" s="150" t="str">
        <f>名簿!D19&amp;""</f>
        <v>浩</v>
      </c>
      <c r="AB31" s="177"/>
      <c r="AC31" s="177"/>
    </row>
    <row r="32" spans="1:29" x14ac:dyDescent="0.4">
      <c r="A32" s="150" t="str">
        <f>名簿!B20&amp;""</f>
        <v>10010010</v>
      </c>
      <c r="B32" s="150" t="str">
        <f>名簿!C20&amp;""</f>
        <v>加藤</v>
      </c>
      <c r="C32" s="150" t="str">
        <f>名簿!D20&amp;""</f>
        <v>さくら</v>
      </c>
      <c r="AB32" s="177"/>
      <c r="AC32" s="177"/>
    </row>
    <row r="33" spans="1:29" x14ac:dyDescent="0.4">
      <c r="A33" s="150" t="str">
        <f>名簿!B21&amp;""</f>
        <v>10010011</v>
      </c>
      <c r="B33" s="150" t="str">
        <f>名簿!C21&amp;""</f>
        <v>吉田</v>
      </c>
      <c r="C33" s="150" t="str">
        <f>名簿!D21&amp;""</f>
        <v>亮</v>
      </c>
      <c r="AB33" s="177"/>
      <c r="AC33" s="177"/>
    </row>
    <row r="34" spans="1:29" x14ac:dyDescent="0.4">
      <c r="A34" s="150" t="str">
        <f>名簿!B22&amp;""</f>
        <v>10010012</v>
      </c>
      <c r="B34" s="150" t="str">
        <f>名簿!C22&amp;""</f>
        <v>山田</v>
      </c>
      <c r="C34" s="150" t="str">
        <f>名簿!D22&amp;""</f>
        <v>愛</v>
      </c>
      <c r="AB34" s="177"/>
      <c r="AC34" s="177"/>
    </row>
    <row r="35" spans="1:29" x14ac:dyDescent="0.4">
      <c r="A35" s="150" t="str">
        <f>名簿!B23&amp;""</f>
        <v>10010013</v>
      </c>
      <c r="B35" s="150" t="str">
        <f>名簿!C23&amp;""</f>
        <v>佐々木</v>
      </c>
      <c r="C35" s="150" t="str">
        <f>名簿!D23&amp;""</f>
        <v>浩</v>
      </c>
      <c r="AB35" s="177"/>
      <c r="AC35" s="177"/>
    </row>
    <row r="36" spans="1:29" x14ac:dyDescent="0.4">
      <c r="A36" s="150" t="str">
        <f>名簿!B24&amp;""</f>
        <v>10010014</v>
      </c>
      <c r="B36" s="150" t="str">
        <f>名簿!C24&amp;""</f>
        <v>山口</v>
      </c>
      <c r="C36" s="150" t="str">
        <f>名簿!D24&amp;""</f>
        <v>結衣</v>
      </c>
      <c r="AB36" s="177"/>
      <c r="AC36" s="177"/>
    </row>
    <row r="37" spans="1:29" x14ac:dyDescent="0.4">
      <c r="A37" s="150" t="str">
        <f>名簿!B25&amp;""</f>
        <v>10010015</v>
      </c>
      <c r="B37" s="150" t="str">
        <f>名簿!C25&amp;""</f>
        <v>松本</v>
      </c>
      <c r="C37" s="150" t="str">
        <f>名簿!D25&amp;""</f>
        <v>浩</v>
      </c>
      <c r="AB37" s="177"/>
      <c r="AC37" s="177"/>
    </row>
    <row r="38" spans="1:29" x14ac:dyDescent="0.4">
      <c r="A38" s="150" t="str">
        <f>名簿!B26&amp;""</f>
        <v>10010016</v>
      </c>
      <c r="B38" s="150" t="str">
        <f>名簿!C26&amp;""</f>
        <v>井上</v>
      </c>
      <c r="C38" s="150" t="str">
        <f>名簿!D26&amp;""</f>
        <v>結衣</v>
      </c>
      <c r="AB38" s="177"/>
      <c r="AC38" s="177"/>
    </row>
    <row r="39" spans="1:29" x14ac:dyDescent="0.4">
      <c r="A39" s="150" t="str">
        <f>名簿!B27&amp;""</f>
        <v>10010017</v>
      </c>
      <c r="B39" s="150" t="str">
        <f>名簿!C27&amp;""</f>
        <v>木村</v>
      </c>
      <c r="C39" s="150" t="str">
        <f>名簿!D27&amp;""</f>
        <v>学</v>
      </c>
      <c r="AB39" s="177"/>
      <c r="AC39" s="177"/>
    </row>
    <row r="40" spans="1:29" x14ac:dyDescent="0.4">
      <c r="A40" s="150" t="str">
        <f>名簿!B28&amp;""</f>
        <v>10010018</v>
      </c>
      <c r="B40" s="150" t="str">
        <f>名簿!C28&amp;""</f>
        <v>林</v>
      </c>
      <c r="C40" s="150" t="str">
        <f>名簿!D28&amp;""</f>
        <v>凛</v>
      </c>
      <c r="AB40" s="177"/>
      <c r="AC40" s="177"/>
    </row>
    <row r="41" spans="1:29" x14ac:dyDescent="0.4">
      <c r="A41" s="150" t="str">
        <f>名簿!B29&amp;""</f>
        <v>10010019</v>
      </c>
      <c r="B41" s="150" t="str">
        <f>名簿!C29&amp;""</f>
        <v>斎藤</v>
      </c>
      <c r="C41" s="150" t="str">
        <f>名簿!D29&amp;""</f>
        <v>翔太</v>
      </c>
      <c r="AB41" s="177"/>
      <c r="AC41" s="177"/>
    </row>
    <row r="42" spans="1:29" x14ac:dyDescent="0.4">
      <c r="A42" s="150" t="str">
        <f>名簿!B30&amp;""</f>
        <v>10010020</v>
      </c>
      <c r="B42" s="150" t="str">
        <f>名簿!C30&amp;""</f>
        <v>清水</v>
      </c>
      <c r="C42" s="150" t="str">
        <f>名簿!D30&amp;""</f>
        <v>結衣</v>
      </c>
      <c r="AB42" s="177"/>
      <c r="AC42" s="177"/>
    </row>
    <row r="43" spans="1:29" x14ac:dyDescent="0.4">
      <c r="A43" s="150" t="str">
        <f>名簿!B31&amp;""</f>
        <v>10010021</v>
      </c>
      <c r="B43" s="150" t="str">
        <f>名簿!C31&amp;""</f>
        <v>山崎</v>
      </c>
      <c r="C43" s="150" t="str">
        <f>名簿!D31&amp;""</f>
        <v>一郎</v>
      </c>
      <c r="AB43" s="177"/>
      <c r="AC43" s="177"/>
    </row>
    <row r="44" spans="1:29" x14ac:dyDescent="0.4">
      <c r="A44" s="150" t="str">
        <f>名簿!B32&amp;""</f>
        <v>10010022</v>
      </c>
      <c r="B44" s="150" t="str">
        <f>名簿!C32&amp;""</f>
        <v>森</v>
      </c>
      <c r="C44" s="150" t="str">
        <f>名簿!D32&amp;""</f>
        <v>凛</v>
      </c>
      <c r="AB44" s="177"/>
      <c r="AC44" s="177"/>
    </row>
    <row r="45" spans="1:29" x14ac:dyDescent="0.4">
      <c r="A45" s="150" t="str">
        <f>名簿!B33&amp;""</f>
        <v>10010023</v>
      </c>
      <c r="B45" s="150" t="str">
        <f>名簿!C33&amp;""</f>
        <v>池田</v>
      </c>
      <c r="C45" s="150" t="str">
        <f>名簿!D33&amp;""</f>
        <v>直樹</v>
      </c>
      <c r="AB45" s="177"/>
      <c r="AC45" s="177"/>
    </row>
    <row r="46" spans="1:29" x14ac:dyDescent="0.4">
      <c r="A46" s="150" t="str">
        <f>名簿!B34&amp;""</f>
        <v>10010024</v>
      </c>
      <c r="B46" s="150" t="str">
        <f>名簿!C34&amp;""</f>
        <v>橋本</v>
      </c>
      <c r="C46" s="150" t="str">
        <f>名簿!D34&amp;""</f>
        <v>愛</v>
      </c>
      <c r="AB46" s="177"/>
      <c r="AC46" s="177"/>
    </row>
    <row r="47" spans="1:29" x14ac:dyDescent="0.4">
      <c r="A47" s="150" t="str">
        <f>名簿!B35&amp;""</f>
        <v>10010025</v>
      </c>
      <c r="B47" s="150" t="str">
        <f>名簿!C35&amp;""</f>
        <v>阿部</v>
      </c>
      <c r="C47" s="150" t="str">
        <f>名簿!D35&amp;""</f>
        <v>健太</v>
      </c>
      <c r="AB47" s="177"/>
      <c r="AC47" s="177"/>
    </row>
    <row r="48" spans="1:29" x14ac:dyDescent="0.4">
      <c r="A48" s="150" t="str">
        <f>名簿!B36&amp;""</f>
        <v>10010026</v>
      </c>
      <c r="B48" s="150" t="str">
        <f>名簿!C36&amp;""</f>
        <v>石川</v>
      </c>
      <c r="C48" s="150" t="str">
        <f>名簿!D36&amp;""</f>
        <v>陽菜</v>
      </c>
      <c r="AB48" s="177"/>
      <c r="AC48" s="177"/>
    </row>
    <row r="49" spans="1:29" x14ac:dyDescent="0.4">
      <c r="A49" s="150" t="str">
        <f>名簿!B37&amp;""</f>
        <v>10010027</v>
      </c>
      <c r="B49" s="150" t="str">
        <f>名簿!C37&amp;""</f>
        <v>山下</v>
      </c>
      <c r="C49" s="150" t="str">
        <f>名簿!D37&amp;""</f>
        <v>学</v>
      </c>
      <c r="AB49" s="177"/>
      <c r="AC49" s="177"/>
    </row>
    <row r="50" spans="1:29" x14ac:dyDescent="0.4">
      <c r="A50" s="150" t="str">
        <f>名簿!B38&amp;""</f>
        <v>10010028</v>
      </c>
      <c r="B50" s="150" t="str">
        <f>名簿!C38&amp;""</f>
        <v>中島</v>
      </c>
      <c r="C50" s="150" t="str">
        <f>名簿!D38&amp;""</f>
        <v>凛</v>
      </c>
      <c r="AB50" s="177"/>
      <c r="AC50" s="177"/>
    </row>
    <row r="51" spans="1:29" x14ac:dyDescent="0.4">
      <c r="A51" s="150" t="str">
        <f>名簿!B39&amp;""</f>
        <v>10010029</v>
      </c>
      <c r="B51" s="150" t="str">
        <f>名簿!C39&amp;""</f>
        <v>石井</v>
      </c>
      <c r="C51" s="150" t="str">
        <f>名簿!D39&amp;""</f>
        <v>健太</v>
      </c>
      <c r="AB51" s="177"/>
      <c r="AC51" s="177"/>
    </row>
    <row r="52" spans="1:29" x14ac:dyDescent="0.4">
      <c r="A52" s="150" t="str">
        <f>名簿!B40&amp;""</f>
        <v>10010030</v>
      </c>
      <c r="B52" s="150" t="str">
        <f>名簿!C40&amp;""</f>
        <v>小川</v>
      </c>
      <c r="C52" s="150" t="str">
        <f>名簿!D40&amp;""</f>
        <v>楓</v>
      </c>
      <c r="AB52" s="177"/>
      <c r="AC52" s="177"/>
    </row>
    <row r="53" spans="1:29" x14ac:dyDescent="0.4">
      <c r="A53" s="150" t="str">
        <f>名簿!B41&amp;""</f>
        <v/>
      </c>
      <c r="B53" s="150" t="str">
        <f>名簿!C41&amp;""</f>
        <v/>
      </c>
      <c r="C53" s="150" t="str">
        <f>名簿!D41&amp;""</f>
        <v/>
      </c>
      <c r="AB53" s="177"/>
      <c r="AC53" s="177"/>
    </row>
    <row r="54" spans="1:29" x14ac:dyDescent="0.4">
      <c r="A54" s="150" t="str">
        <f>名簿!B42&amp;""</f>
        <v/>
      </c>
      <c r="B54" s="150" t="str">
        <f>名簿!C42&amp;""</f>
        <v/>
      </c>
      <c r="C54" s="150" t="str">
        <f>名簿!D42&amp;""</f>
        <v/>
      </c>
      <c r="AB54" s="177"/>
      <c r="AC54" s="177"/>
    </row>
    <row r="55" spans="1:29" x14ac:dyDescent="0.4">
      <c r="A55" s="150" t="str">
        <f>名簿!B43&amp;""</f>
        <v/>
      </c>
      <c r="B55" s="150" t="str">
        <f>名簿!C43&amp;""</f>
        <v/>
      </c>
      <c r="C55" s="150" t="str">
        <f>名簿!D43&amp;""</f>
        <v/>
      </c>
      <c r="AB55" s="177"/>
      <c r="AC55" s="177"/>
    </row>
    <row r="56" spans="1:29" x14ac:dyDescent="0.4">
      <c r="A56" s="150" t="str">
        <f>名簿!B44&amp;""</f>
        <v/>
      </c>
      <c r="B56" s="150" t="str">
        <f>名簿!C44&amp;""</f>
        <v/>
      </c>
      <c r="C56" s="150" t="str">
        <f>名簿!D44&amp;""</f>
        <v/>
      </c>
      <c r="AB56" s="177"/>
      <c r="AC56" s="177"/>
    </row>
    <row r="57" spans="1:29" x14ac:dyDescent="0.4">
      <c r="A57" s="150" t="str">
        <f>名簿!B45&amp;""</f>
        <v/>
      </c>
      <c r="B57" s="150" t="str">
        <f>名簿!C45&amp;""</f>
        <v/>
      </c>
      <c r="C57" s="150" t="str">
        <f>名簿!D45&amp;""</f>
        <v/>
      </c>
      <c r="AB57" s="177"/>
      <c r="AC57" s="177"/>
    </row>
    <row r="58" spans="1:29" x14ac:dyDescent="0.4">
      <c r="A58" s="150" t="str">
        <f>名簿!B46&amp;""</f>
        <v/>
      </c>
      <c r="B58" s="150" t="str">
        <f>名簿!C46&amp;""</f>
        <v/>
      </c>
      <c r="C58" s="150" t="str">
        <f>名簿!D46&amp;""</f>
        <v/>
      </c>
      <c r="AB58" s="177"/>
      <c r="AC58" s="177"/>
    </row>
    <row r="59" spans="1:29" x14ac:dyDescent="0.4">
      <c r="A59" s="150" t="str">
        <f>名簿!B47&amp;""</f>
        <v/>
      </c>
      <c r="B59" s="150" t="str">
        <f>名簿!C47&amp;""</f>
        <v/>
      </c>
      <c r="C59" s="150" t="str">
        <f>名簿!D47&amp;""</f>
        <v/>
      </c>
      <c r="AB59" s="177"/>
      <c r="AC59" s="177"/>
    </row>
    <row r="60" spans="1:29" x14ac:dyDescent="0.4">
      <c r="A60" s="150" t="str">
        <f>名簿!B48&amp;""</f>
        <v/>
      </c>
      <c r="B60" s="150" t="str">
        <f>名簿!C48&amp;""</f>
        <v/>
      </c>
      <c r="C60" s="150" t="str">
        <f>名簿!D48&amp;""</f>
        <v/>
      </c>
      <c r="AB60" s="177"/>
      <c r="AC60" s="177"/>
    </row>
    <row r="61" spans="1:29" x14ac:dyDescent="0.4">
      <c r="A61" s="150" t="str">
        <f>名簿!B49&amp;""</f>
        <v/>
      </c>
      <c r="B61" s="150" t="str">
        <f>名簿!C49&amp;""</f>
        <v/>
      </c>
      <c r="C61" s="150" t="str">
        <f>名簿!D49&amp;""</f>
        <v/>
      </c>
      <c r="AB61" s="177"/>
      <c r="AC61" s="177"/>
    </row>
    <row r="62" spans="1:29" x14ac:dyDescent="0.4">
      <c r="A62" s="150" t="str">
        <f>名簿!B50&amp;""</f>
        <v/>
      </c>
      <c r="B62" s="150" t="str">
        <f>名簿!C50&amp;""</f>
        <v/>
      </c>
      <c r="C62" s="150" t="str">
        <f>名簿!D50&amp;""</f>
        <v/>
      </c>
      <c r="AB62" s="177"/>
      <c r="AC62" s="177"/>
    </row>
  </sheetData>
  <sheetProtection algorithmName="SHA-512" hashValue="4snfZm6v4+i80IGS5wTHhkECgOYk9yV7kaiJDt5srv4eCZelgCURWbdbiv/nKUzLUvmy592wIS5gcEERq1lRDA==" saltValue="uYvkcMd2r8ASCqB7JumOPg==" spinCount="100000" sheet="1" objects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_data.Btm_adjustscore_hide_reveal2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_data.Btn_stats_hide_reveal2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7620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h_individual.ShowAnalysisForm">
                <anchor moveWithCells="1" sizeWithCells="1">
                  <from>
                    <xdr:col>3</xdr:col>
                    <xdr:colOff>22860</xdr:colOff>
                    <xdr:row>0</xdr:row>
                    <xdr:rowOff>7620</xdr:rowOff>
                  </from>
                  <to>
                    <xdr:col>4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H8" sqref="H8"/>
    </sheetView>
  </sheetViews>
  <sheetFormatPr defaultColWidth="9" defaultRowHeight="16.2" x14ac:dyDescent="0.45"/>
  <cols>
    <col min="1" max="1" width="11.69921875" style="75" customWidth="1"/>
    <col min="2" max="2" width="10.3984375" style="75" customWidth="1"/>
    <col min="3" max="3" width="9.19921875" style="75" customWidth="1"/>
    <col min="4" max="4" width="5.19921875" style="75" customWidth="1"/>
    <col min="5" max="974" width="4.8984375" style="75" customWidth="1"/>
    <col min="975" max="16384" width="9" style="75"/>
  </cols>
  <sheetData>
    <row r="1" spans="1:789" ht="22.2" x14ac:dyDescent="0.45">
      <c r="A1" s="88" t="s">
        <v>17</v>
      </c>
      <c r="B1" s="76"/>
    </row>
    <row r="2" spans="1:789" ht="19.8" x14ac:dyDescent="0.45">
      <c r="A2" s="75" t="s">
        <v>0</v>
      </c>
      <c r="B2" s="89" t="s">
        <v>6</v>
      </c>
    </row>
    <row r="3" spans="1:789" s="83" customFormat="1" ht="24" customHeight="1" x14ac:dyDescent="0.45">
      <c r="A3" s="75" t="s">
        <v>2</v>
      </c>
      <c r="B3" s="75"/>
    </row>
    <row r="4" spans="1:789" s="84" customFormat="1" x14ac:dyDescent="0.45">
      <c r="A4" s="92" t="s">
        <v>86</v>
      </c>
      <c r="B4" s="92" t="s">
        <v>148</v>
      </c>
      <c r="C4" s="93" t="s">
        <v>21</v>
      </c>
      <c r="D4" s="84" t="s">
        <v>137</v>
      </c>
      <c r="E4" s="84" t="s">
        <v>142</v>
      </c>
      <c r="F4" s="84" t="s">
        <v>143</v>
      </c>
      <c r="G4" s="84" t="s">
        <v>16</v>
      </c>
      <c r="H4" s="84" t="s">
        <v>147</v>
      </c>
      <c r="I4" s="84" t="s">
        <v>186</v>
      </c>
      <c r="J4" s="84" t="s">
        <v>188</v>
      </c>
    </row>
    <row r="5" spans="1:789" s="85" customFormat="1" x14ac:dyDescent="0.45">
      <c r="A5" s="92"/>
      <c r="B5" s="92" t="s">
        <v>169</v>
      </c>
      <c r="C5" s="93" t="s">
        <v>4</v>
      </c>
      <c r="D5" s="85">
        <v>46055</v>
      </c>
      <c r="E5" s="85">
        <v>46055</v>
      </c>
      <c r="F5" s="85">
        <v>46055</v>
      </c>
      <c r="G5" s="85">
        <v>46055</v>
      </c>
      <c r="H5" s="85">
        <v>46055</v>
      </c>
      <c r="I5" s="85">
        <v>46070</v>
      </c>
      <c r="J5" s="85">
        <v>46070</v>
      </c>
    </row>
    <row r="6" spans="1:789" s="86" customFormat="1" x14ac:dyDescent="0.45">
      <c r="A6" s="92"/>
      <c r="B6" s="92" t="s">
        <v>189</v>
      </c>
      <c r="C6" s="93"/>
      <c r="D6" s="86" t="s">
        <v>14</v>
      </c>
      <c r="E6" s="86" t="s">
        <v>14</v>
      </c>
      <c r="F6" s="86" t="s">
        <v>14</v>
      </c>
      <c r="G6" s="86" t="s">
        <v>14</v>
      </c>
      <c r="H6" s="86" t="s">
        <v>14</v>
      </c>
      <c r="I6" s="86" t="s">
        <v>14</v>
      </c>
      <c r="J6" s="86" t="s">
        <v>14</v>
      </c>
    </row>
    <row r="7" spans="1:789" s="86" customFormat="1" ht="18.75" customHeight="1" x14ac:dyDescent="0.45">
      <c r="A7" s="94"/>
      <c r="B7" s="92"/>
      <c r="C7" s="93" t="s">
        <v>79</v>
      </c>
      <c r="D7" s="84" t="s">
        <v>135</v>
      </c>
      <c r="E7" s="84" t="s">
        <v>135</v>
      </c>
      <c r="F7" s="84" t="s">
        <v>135</v>
      </c>
      <c r="G7" s="84" t="s">
        <v>135</v>
      </c>
      <c r="H7" s="84" t="s">
        <v>135</v>
      </c>
      <c r="I7" s="84" t="s">
        <v>135</v>
      </c>
      <c r="J7" s="84" t="s">
        <v>135</v>
      </c>
      <c r="K7" s="84"/>
      <c r="L7" s="84"/>
      <c r="M7" s="84"/>
      <c r="N7" s="84"/>
      <c r="O7" s="84"/>
      <c r="P7" s="84"/>
      <c r="Q7" s="84"/>
      <c r="R7" s="84"/>
      <c r="S7" s="84"/>
      <c r="T7" s="84"/>
      <c r="U7" s="84" t="s">
        <v>200</v>
      </c>
      <c r="V7" s="84" t="s">
        <v>200</v>
      </c>
      <c r="W7" s="84" t="s">
        <v>200</v>
      </c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84"/>
      <c r="DJ7" s="84"/>
      <c r="DK7" s="84"/>
      <c r="DL7" s="84"/>
      <c r="DM7" s="84"/>
      <c r="DN7" s="84"/>
      <c r="DO7" s="84"/>
      <c r="DP7" s="84"/>
      <c r="DQ7" s="84"/>
      <c r="DR7" s="84"/>
      <c r="DS7" s="84"/>
      <c r="DT7" s="84"/>
      <c r="DU7" s="84"/>
      <c r="DV7" s="84"/>
      <c r="DW7" s="84"/>
      <c r="DX7" s="84"/>
      <c r="DY7" s="84"/>
      <c r="DZ7" s="84"/>
      <c r="EA7" s="84"/>
      <c r="EB7" s="84"/>
      <c r="EC7" s="84"/>
      <c r="ED7" s="84"/>
      <c r="EE7" s="84"/>
      <c r="EF7" s="84"/>
      <c r="EG7" s="84"/>
      <c r="EH7" s="84"/>
      <c r="EI7" s="84"/>
      <c r="EJ7" s="84"/>
      <c r="EK7" s="84"/>
      <c r="EL7" s="84"/>
      <c r="EM7" s="84"/>
      <c r="EN7" s="84"/>
      <c r="EO7" s="84"/>
      <c r="EP7" s="84"/>
      <c r="EQ7" s="84"/>
      <c r="ER7" s="84"/>
      <c r="ES7" s="84"/>
      <c r="ET7" s="84"/>
      <c r="EU7" s="84"/>
      <c r="EV7" s="84"/>
      <c r="EW7" s="84"/>
      <c r="EX7" s="84"/>
      <c r="EY7" s="84"/>
      <c r="EZ7" s="84"/>
      <c r="FA7" s="84"/>
      <c r="FB7" s="84"/>
      <c r="FC7" s="84"/>
      <c r="FD7" s="84"/>
      <c r="FE7" s="84"/>
      <c r="FF7" s="84"/>
      <c r="FG7" s="84"/>
      <c r="FH7" s="84"/>
      <c r="FI7" s="84"/>
      <c r="FJ7" s="84"/>
      <c r="FK7" s="84"/>
      <c r="FL7" s="84"/>
      <c r="FM7" s="84"/>
      <c r="FN7" s="84"/>
      <c r="FO7" s="84"/>
      <c r="FP7" s="84"/>
      <c r="FQ7" s="84"/>
      <c r="FR7" s="84"/>
      <c r="FS7" s="84"/>
      <c r="FT7" s="84"/>
      <c r="FU7" s="84"/>
      <c r="FV7" s="84"/>
      <c r="FW7" s="84"/>
      <c r="FX7" s="84"/>
      <c r="FY7" s="84"/>
      <c r="FZ7" s="84"/>
      <c r="GA7" s="84"/>
      <c r="GB7" s="84"/>
      <c r="GC7" s="84"/>
      <c r="GD7" s="84"/>
      <c r="GE7" s="84"/>
      <c r="GF7" s="84"/>
      <c r="GG7" s="84"/>
      <c r="GH7" s="84"/>
      <c r="GI7" s="84"/>
      <c r="GJ7" s="84"/>
      <c r="GK7" s="84"/>
      <c r="GL7" s="84"/>
      <c r="GM7" s="84"/>
      <c r="GN7" s="84"/>
      <c r="GO7" s="84"/>
      <c r="GP7" s="84"/>
      <c r="GQ7" s="84"/>
      <c r="GR7" s="84"/>
      <c r="GS7" s="84"/>
      <c r="GT7" s="84"/>
      <c r="GU7" s="84"/>
      <c r="GV7" s="84"/>
      <c r="GW7" s="84"/>
      <c r="GX7" s="84"/>
      <c r="GY7" s="84"/>
      <c r="GZ7" s="84"/>
      <c r="HA7" s="84"/>
      <c r="HB7" s="84"/>
      <c r="HC7" s="84"/>
      <c r="HD7" s="84"/>
      <c r="HE7" s="84"/>
      <c r="HF7" s="84"/>
      <c r="HG7" s="84"/>
      <c r="HH7" s="84"/>
      <c r="HI7" s="84"/>
      <c r="HJ7" s="84"/>
      <c r="HK7" s="84"/>
      <c r="HL7" s="84"/>
      <c r="HM7" s="84"/>
      <c r="HN7" s="84"/>
      <c r="HO7" s="84"/>
      <c r="HP7" s="84"/>
      <c r="HQ7" s="84"/>
      <c r="HR7" s="84"/>
      <c r="HS7" s="84"/>
      <c r="HT7" s="84"/>
      <c r="HU7" s="84"/>
      <c r="HV7" s="84"/>
      <c r="HW7" s="84"/>
      <c r="HX7" s="84"/>
      <c r="HY7" s="84"/>
      <c r="HZ7" s="84"/>
      <c r="IA7" s="84"/>
      <c r="IB7" s="84"/>
      <c r="IC7" s="84"/>
      <c r="ID7" s="84"/>
      <c r="IE7" s="84"/>
      <c r="IF7" s="84"/>
      <c r="IG7" s="84"/>
      <c r="IH7" s="84"/>
      <c r="II7" s="84"/>
      <c r="IJ7" s="84"/>
      <c r="IK7" s="84"/>
      <c r="IL7" s="84"/>
      <c r="IM7" s="84"/>
      <c r="IN7" s="84"/>
      <c r="IO7" s="84"/>
      <c r="IP7" s="84"/>
      <c r="IQ7" s="84"/>
      <c r="IR7" s="84"/>
      <c r="IS7" s="84"/>
      <c r="IT7" s="84"/>
      <c r="IU7" s="84"/>
      <c r="IV7" s="84"/>
      <c r="IW7" s="84"/>
      <c r="IX7" s="84"/>
      <c r="IY7" s="84"/>
      <c r="IZ7" s="84"/>
      <c r="JA7" s="84"/>
      <c r="JB7" s="84"/>
      <c r="JC7" s="84"/>
      <c r="JD7" s="84"/>
      <c r="JE7" s="84"/>
      <c r="JF7" s="84"/>
      <c r="JG7" s="84"/>
      <c r="JH7" s="84"/>
      <c r="JI7" s="84"/>
      <c r="JJ7" s="84"/>
      <c r="JK7" s="84"/>
      <c r="JL7" s="84"/>
      <c r="JM7" s="84"/>
      <c r="JN7" s="84"/>
      <c r="JO7" s="84"/>
      <c r="JP7" s="84"/>
      <c r="JQ7" s="84"/>
      <c r="JR7" s="84"/>
      <c r="JS7" s="84"/>
      <c r="JT7" s="84"/>
      <c r="JU7" s="84"/>
      <c r="JV7" s="84"/>
      <c r="JW7" s="84"/>
      <c r="JX7" s="84"/>
      <c r="JY7" s="84"/>
      <c r="JZ7" s="84"/>
      <c r="KA7" s="84"/>
      <c r="KB7" s="84"/>
      <c r="KC7" s="84"/>
      <c r="KD7" s="84"/>
      <c r="KE7" s="84"/>
      <c r="KF7" s="84"/>
      <c r="KG7" s="84"/>
      <c r="KH7" s="84"/>
      <c r="KI7" s="84"/>
      <c r="KJ7" s="84"/>
      <c r="KK7" s="84"/>
      <c r="KL7" s="84"/>
      <c r="KM7" s="84"/>
      <c r="KN7" s="84"/>
      <c r="KO7" s="84"/>
      <c r="KP7" s="84"/>
      <c r="KQ7" s="84"/>
      <c r="KR7" s="84"/>
      <c r="KS7" s="84"/>
      <c r="KT7" s="84"/>
      <c r="KU7" s="84"/>
      <c r="KV7" s="84"/>
      <c r="KW7" s="84"/>
      <c r="KX7" s="84"/>
      <c r="KY7" s="84"/>
      <c r="KZ7" s="84"/>
      <c r="LA7" s="84"/>
      <c r="LB7" s="84"/>
      <c r="LC7" s="84"/>
      <c r="LD7" s="84"/>
      <c r="LE7" s="84"/>
      <c r="LF7" s="84"/>
      <c r="LG7" s="84"/>
      <c r="LH7" s="84"/>
      <c r="LI7" s="84"/>
      <c r="LJ7" s="84"/>
      <c r="LK7" s="84"/>
      <c r="LL7" s="84"/>
      <c r="LM7" s="84"/>
      <c r="LN7" s="84"/>
      <c r="LO7" s="84"/>
      <c r="LP7" s="84"/>
      <c r="LQ7" s="84"/>
      <c r="LR7" s="84"/>
      <c r="LS7" s="84"/>
      <c r="LT7" s="84"/>
      <c r="LU7" s="84"/>
      <c r="LV7" s="84"/>
      <c r="LW7" s="84"/>
      <c r="LX7" s="84"/>
      <c r="LY7" s="84"/>
      <c r="LZ7" s="84"/>
      <c r="MA7" s="84"/>
      <c r="MB7" s="84"/>
      <c r="MC7" s="84"/>
      <c r="MD7" s="84"/>
      <c r="ME7" s="84"/>
      <c r="MF7" s="84"/>
      <c r="MG7" s="84"/>
      <c r="MH7" s="84"/>
      <c r="MI7" s="84"/>
      <c r="MJ7" s="84"/>
      <c r="MK7" s="84"/>
      <c r="ML7" s="84"/>
      <c r="MM7" s="84"/>
      <c r="MN7" s="84"/>
      <c r="MO7" s="84"/>
      <c r="MP7" s="84"/>
      <c r="MQ7" s="84"/>
      <c r="MR7" s="84"/>
      <c r="MS7" s="84"/>
      <c r="MT7" s="84"/>
      <c r="MU7" s="84"/>
      <c r="MV7" s="84"/>
      <c r="MW7" s="84"/>
      <c r="MX7" s="84"/>
      <c r="MY7" s="84"/>
      <c r="MZ7" s="84"/>
      <c r="NA7" s="84"/>
      <c r="NB7" s="84"/>
      <c r="NC7" s="84"/>
      <c r="ND7" s="84"/>
      <c r="NE7" s="84"/>
      <c r="NF7" s="84"/>
      <c r="NG7" s="84"/>
      <c r="NH7" s="84"/>
      <c r="NI7" s="84"/>
      <c r="NJ7" s="84"/>
      <c r="NK7" s="84"/>
      <c r="NL7" s="84"/>
      <c r="NM7" s="84"/>
      <c r="NN7" s="84"/>
      <c r="NO7" s="84"/>
      <c r="NP7" s="84"/>
      <c r="NQ7" s="84"/>
      <c r="NR7" s="84"/>
      <c r="NS7" s="84"/>
      <c r="NT7" s="84"/>
      <c r="NU7" s="84"/>
      <c r="NV7" s="84"/>
      <c r="NW7" s="84"/>
      <c r="NX7" s="84"/>
      <c r="NY7" s="84"/>
      <c r="NZ7" s="84"/>
      <c r="OA7" s="84"/>
      <c r="OB7" s="84"/>
      <c r="OC7" s="84"/>
      <c r="OD7" s="84"/>
      <c r="OE7" s="84"/>
      <c r="OF7" s="84"/>
      <c r="OG7" s="84"/>
      <c r="OH7" s="84"/>
      <c r="OI7" s="84"/>
      <c r="OJ7" s="84"/>
      <c r="OK7" s="84"/>
      <c r="OL7" s="84"/>
      <c r="OM7" s="84"/>
      <c r="ON7" s="84"/>
      <c r="OO7" s="84"/>
      <c r="OP7" s="84"/>
      <c r="OQ7" s="84"/>
      <c r="OR7" s="84"/>
      <c r="OS7" s="84"/>
      <c r="OT7" s="84"/>
      <c r="OU7" s="84"/>
      <c r="OV7" s="84"/>
      <c r="OW7" s="84"/>
      <c r="OX7" s="84"/>
      <c r="OY7" s="84"/>
      <c r="OZ7" s="84"/>
      <c r="PA7" s="84"/>
      <c r="PB7" s="84"/>
      <c r="PC7" s="84"/>
      <c r="PD7" s="84"/>
      <c r="PE7" s="84"/>
      <c r="PF7" s="84"/>
      <c r="PG7" s="84"/>
      <c r="PH7" s="84"/>
      <c r="PI7" s="84"/>
      <c r="PJ7" s="84"/>
      <c r="PK7" s="84"/>
      <c r="PL7" s="84"/>
      <c r="PM7" s="84"/>
      <c r="PN7" s="84"/>
      <c r="PO7" s="84"/>
      <c r="PP7" s="84"/>
      <c r="PQ7" s="84"/>
      <c r="PR7" s="84"/>
      <c r="PS7" s="84"/>
      <c r="PT7" s="84"/>
      <c r="PU7" s="84"/>
      <c r="PV7" s="84"/>
      <c r="PW7" s="84"/>
      <c r="PX7" s="84"/>
      <c r="PY7" s="84"/>
      <c r="PZ7" s="84"/>
      <c r="QA7" s="84"/>
      <c r="QB7" s="84"/>
      <c r="QC7" s="84"/>
      <c r="QD7" s="84"/>
      <c r="QE7" s="84"/>
      <c r="QF7" s="84"/>
      <c r="QG7" s="84"/>
      <c r="QH7" s="84"/>
      <c r="QI7" s="84"/>
      <c r="QJ7" s="84"/>
      <c r="QK7" s="84"/>
      <c r="QL7" s="84"/>
      <c r="QM7" s="84"/>
      <c r="QN7" s="84"/>
      <c r="QO7" s="84"/>
      <c r="QP7" s="84"/>
      <c r="QQ7" s="84"/>
      <c r="QR7" s="84"/>
      <c r="QS7" s="84"/>
      <c r="QT7" s="84"/>
      <c r="QU7" s="84"/>
      <c r="QV7" s="84"/>
      <c r="QW7" s="84"/>
      <c r="QX7" s="84"/>
      <c r="QY7" s="84"/>
      <c r="QZ7" s="84"/>
      <c r="RA7" s="84"/>
      <c r="RB7" s="84"/>
      <c r="RC7" s="84"/>
      <c r="RD7" s="84"/>
      <c r="RE7" s="84"/>
      <c r="RF7" s="84"/>
      <c r="RG7" s="84"/>
      <c r="RH7" s="84"/>
      <c r="RI7" s="84"/>
      <c r="RJ7" s="84"/>
      <c r="RK7" s="84"/>
      <c r="RL7" s="84"/>
      <c r="RM7" s="84"/>
      <c r="RN7" s="84"/>
      <c r="RO7" s="84"/>
      <c r="RP7" s="84"/>
      <c r="RQ7" s="84"/>
      <c r="RR7" s="84"/>
      <c r="RS7" s="84"/>
      <c r="RT7" s="84"/>
      <c r="RU7" s="84"/>
      <c r="RV7" s="84"/>
      <c r="RW7" s="84"/>
      <c r="RX7" s="84"/>
      <c r="RY7" s="84"/>
      <c r="RZ7" s="84"/>
      <c r="SA7" s="84"/>
      <c r="SB7" s="84"/>
      <c r="SC7" s="84"/>
      <c r="SD7" s="84"/>
      <c r="SE7" s="84"/>
      <c r="SF7" s="84"/>
      <c r="SG7" s="84"/>
      <c r="SH7" s="84"/>
      <c r="SI7" s="84"/>
      <c r="SJ7" s="84"/>
      <c r="SK7" s="84"/>
      <c r="SL7" s="84"/>
      <c r="SM7" s="84"/>
      <c r="SN7" s="84"/>
      <c r="SO7" s="84"/>
      <c r="SP7" s="84"/>
      <c r="SQ7" s="84"/>
      <c r="SR7" s="84"/>
      <c r="SS7" s="84"/>
      <c r="ST7" s="84"/>
      <c r="SU7" s="84"/>
      <c r="SV7" s="84"/>
      <c r="SW7" s="84"/>
      <c r="SX7" s="84"/>
      <c r="SY7" s="84"/>
      <c r="SZ7" s="84"/>
      <c r="TA7" s="84"/>
      <c r="TB7" s="84"/>
      <c r="TC7" s="84"/>
      <c r="TD7" s="84"/>
      <c r="TE7" s="84"/>
      <c r="TF7" s="84"/>
      <c r="TG7" s="84"/>
      <c r="TH7" s="84"/>
      <c r="TI7" s="84"/>
      <c r="TJ7" s="84"/>
      <c r="TK7" s="84"/>
      <c r="TL7" s="84"/>
      <c r="TM7" s="84"/>
      <c r="TN7" s="84"/>
      <c r="TO7" s="84"/>
      <c r="TP7" s="84"/>
      <c r="TQ7" s="84"/>
      <c r="TR7" s="84"/>
      <c r="TS7" s="84"/>
      <c r="TT7" s="84"/>
      <c r="TU7" s="84"/>
      <c r="TV7" s="84"/>
      <c r="TW7" s="84"/>
      <c r="TX7" s="84"/>
      <c r="TY7" s="84"/>
      <c r="TZ7" s="84"/>
      <c r="UA7" s="84"/>
      <c r="UB7" s="84"/>
      <c r="UC7" s="84"/>
      <c r="UD7" s="84"/>
      <c r="UE7" s="84"/>
      <c r="UF7" s="84"/>
      <c r="UG7" s="84"/>
      <c r="UH7" s="84"/>
      <c r="UI7" s="84"/>
      <c r="UJ7" s="84"/>
      <c r="UK7" s="84"/>
      <c r="UL7" s="84"/>
      <c r="UM7" s="84"/>
      <c r="UN7" s="84"/>
      <c r="UO7" s="84"/>
      <c r="UP7" s="84"/>
      <c r="UQ7" s="84"/>
      <c r="UR7" s="84"/>
      <c r="US7" s="84"/>
      <c r="UT7" s="84"/>
      <c r="UU7" s="84"/>
      <c r="UV7" s="84"/>
      <c r="UW7" s="84"/>
      <c r="UX7" s="84"/>
      <c r="UY7" s="84"/>
      <c r="UZ7" s="84"/>
      <c r="VA7" s="84"/>
      <c r="VB7" s="84"/>
      <c r="VC7" s="84"/>
      <c r="VD7" s="84"/>
      <c r="VE7" s="84"/>
      <c r="VF7" s="84"/>
      <c r="VG7" s="84"/>
      <c r="VH7" s="84"/>
      <c r="VI7" s="84"/>
      <c r="VJ7" s="84"/>
      <c r="VK7" s="84"/>
      <c r="VL7" s="84"/>
      <c r="VM7" s="84"/>
      <c r="VN7" s="84"/>
      <c r="VO7" s="84"/>
      <c r="VP7" s="84"/>
      <c r="VQ7" s="84"/>
      <c r="VR7" s="84"/>
      <c r="VS7" s="84"/>
      <c r="VT7" s="84"/>
      <c r="VU7" s="84"/>
      <c r="VV7" s="84"/>
      <c r="VW7" s="84"/>
      <c r="VX7" s="84"/>
      <c r="VY7" s="84"/>
      <c r="VZ7" s="84"/>
      <c r="WA7" s="84"/>
      <c r="WB7" s="84"/>
      <c r="WC7" s="84"/>
      <c r="WD7" s="84"/>
      <c r="WE7" s="84"/>
      <c r="WF7" s="84"/>
      <c r="WG7" s="84"/>
      <c r="WH7" s="84"/>
      <c r="WI7" s="84"/>
      <c r="WJ7" s="84"/>
      <c r="WK7" s="84"/>
      <c r="WL7" s="84"/>
      <c r="WM7" s="84"/>
      <c r="WN7" s="84"/>
      <c r="WO7" s="84"/>
      <c r="WP7" s="84"/>
      <c r="WQ7" s="84"/>
      <c r="WR7" s="84"/>
      <c r="WS7" s="84"/>
      <c r="WT7" s="84"/>
      <c r="WU7" s="84"/>
      <c r="WV7" s="84"/>
      <c r="WW7" s="84"/>
      <c r="WX7" s="84"/>
      <c r="WY7" s="84"/>
      <c r="WZ7" s="84"/>
      <c r="XA7" s="84"/>
      <c r="XB7" s="84"/>
      <c r="XC7" s="84"/>
      <c r="XD7" s="84"/>
      <c r="XE7" s="84"/>
      <c r="XF7" s="84"/>
      <c r="XG7" s="84"/>
      <c r="XH7" s="84"/>
      <c r="XI7" s="84"/>
      <c r="XJ7" s="84"/>
      <c r="XK7" s="84"/>
      <c r="XL7" s="84"/>
      <c r="XM7" s="84"/>
      <c r="XN7" s="84"/>
      <c r="XO7" s="84"/>
      <c r="XP7" s="84"/>
      <c r="XQ7" s="84"/>
      <c r="XR7" s="84"/>
      <c r="XS7" s="84"/>
      <c r="XT7" s="84"/>
      <c r="XU7" s="84"/>
      <c r="XV7" s="84"/>
      <c r="XW7" s="84"/>
      <c r="XX7" s="84"/>
      <c r="XY7" s="84"/>
      <c r="XZ7" s="84"/>
      <c r="YA7" s="84"/>
      <c r="YB7" s="84"/>
      <c r="YC7" s="84"/>
      <c r="YD7" s="84"/>
      <c r="YE7" s="84"/>
      <c r="YF7" s="84"/>
      <c r="YG7" s="84"/>
      <c r="YH7" s="84"/>
      <c r="YI7" s="84"/>
      <c r="YJ7" s="84"/>
      <c r="YK7" s="84"/>
      <c r="YL7" s="84"/>
      <c r="YM7" s="84"/>
      <c r="YN7" s="84"/>
      <c r="YO7" s="84"/>
      <c r="YP7" s="84"/>
      <c r="YQ7" s="84"/>
      <c r="YR7" s="84"/>
      <c r="YS7" s="84"/>
      <c r="YT7" s="84"/>
      <c r="YU7" s="84"/>
      <c r="YV7" s="84"/>
      <c r="YW7" s="84"/>
      <c r="YX7" s="84"/>
      <c r="YY7" s="84"/>
      <c r="YZ7" s="84"/>
      <c r="ZA7" s="84"/>
      <c r="ZB7" s="84"/>
      <c r="ZC7" s="84"/>
      <c r="ZD7" s="84"/>
      <c r="ZE7" s="84"/>
      <c r="ZF7" s="84"/>
      <c r="ZG7" s="84"/>
      <c r="ZH7" s="84"/>
      <c r="ZI7" s="84"/>
      <c r="ZJ7" s="84"/>
      <c r="ZK7" s="84"/>
      <c r="ZL7" s="84"/>
      <c r="ZM7" s="84"/>
      <c r="ZN7" s="84"/>
      <c r="ZO7" s="84"/>
      <c r="ZP7" s="84"/>
      <c r="ZQ7" s="84"/>
      <c r="ZR7" s="84"/>
      <c r="ZS7" s="84"/>
      <c r="ZT7" s="84"/>
      <c r="ZU7" s="84"/>
      <c r="ZV7" s="84"/>
      <c r="ZW7" s="84"/>
      <c r="ZX7" s="84"/>
      <c r="ZY7" s="84"/>
      <c r="ZZ7" s="84"/>
      <c r="AAA7" s="84"/>
      <c r="AAB7" s="84"/>
      <c r="AAC7" s="84"/>
      <c r="AAD7" s="84"/>
      <c r="AAE7" s="84"/>
      <c r="AAF7" s="84"/>
      <c r="AAG7" s="84"/>
      <c r="AAH7" s="84"/>
      <c r="AAI7" s="84"/>
      <c r="AAJ7" s="84"/>
      <c r="AAK7" s="84"/>
      <c r="AAL7" s="84"/>
      <c r="AAM7" s="84"/>
      <c r="AAN7" s="84"/>
      <c r="AAO7" s="84"/>
      <c r="AAP7" s="84"/>
      <c r="AAQ7" s="84"/>
      <c r="AAR7" s="84"/>
      <c r="AAS7" s="84"/>
      <c r="AAT7" s="84"/>
      <c r="AAU7" s="84"/>
      <c r="AAV7" s="84"/>
      <c r="AAW7" s="84"/>
      <c r="AAX7" s="84"/>
      <c r="AAY7" s="84"/>
      <c r="AAZ7" s="84"/>
      <c r="ABA7" s="84"/>
      <c r="ABB7" s="84"/>
      <c r="ABC7" s="84"/>
      <c r="ABD7" s="84"/>
      <c r="ABE7" s="84"/>
      <c r="ABF7" s="84"/>
      <c r="ABG7" s="84"/>
      <c r="ABH7" s="84"/>
      <c r="ABI7" s="84"/>
      <c r="ABJ7" s="84"/>
      <c r="ABK7" s="84"/>
      <c r="ABL7" s="84"/>
      <c r="ABM7" s="84"/>
      <c r="ABN7" s="84"/>
      <c r="ABO7" s="84"/>
      <c r="ABP7" s="84"/>
      <c r="ABQ7" s="84"/>
      <c r="ABR7" s="84"/>
      <c r="ABS7" s="84"/>
      <c r="ABT7" s="84"/>
      <c r="ABU7" s="84"/>
      <c r="ABV7" s="84"/>
      <c r="ABW7" s="84"/>
      <c r="ABX7" s="84"/>
      <c r="ABY7" s="84"/>
      <c r="ABZ7" s="84"/>
      <c r="ACA7" s="84"/>
      <c r="ACB7" s="84"/>
      <c r="ACC7" s="84"/>
      <c r="ACD7" s="84"/>
      <c r="ACE7" s="84"/>
      <c r="ACF7" s="84"/>
      <c r="ACG7" s="84"/>
      <c r="ACH7" s="84"/>
      <c r="ACI7" s="84"/>
      <c r="ACJ7" s="84"/>
      <c r="ACK7" s="84"/>
      <c r="ACL7" s="84"/>
      <c r="ACM7" s="84"/>
      <c r="ACN7" s="84"/>
      <c r="ACO7" s="84"/>
      <c r="ACP7" s="84"/>
      <c r="ACQ7" s="84"/>
      <c r="ACR7" s="84"/>
      <c r="ACS7" s="84"/>
      <c r="ACT7" s="84"/>
      <c r="ACU7" s="84"/>
      <c r="ACV7" s="84"/>
      <c r="ACW7" s="84"/>
      <c r="ACX7" s="84"/>
      <c r="ACY7" s="84"/>
      <c r="ACZ7" s="84"/>
      <c r="ADA7" s="84"/>
      <c r="ADB7" s="84"/>
      <c r="ADC7" s="84"/>
      <c r="ADD7" s="84"/>
      <c r="ADE7" s="84"/>
      <c r="ADF7" s="84"/>
      <c r="ADG7" s="84"/>
      <c r="ADH7" s="84"/>
      <c r="ADI7" s="84"/>
    </row>
    <row r="8" spans="1:789" s="87" customFormat="1" ht="123" customHeight="1" x14ac:dyDescent="0.45">
      <c r="A8" s="95"/>
      <c r="B8" s="95"/>
      <c r="C8" s="93" t="s">
        <v>1</v>
      </c>
      <c r="D8" s="87" t="s">
        <v>136</v>
      </c>
      <c r="E8" s="87" t="s">
        <v>206</v>
      </c>
      <c r="F8" s="87" t="s">
        <v>207</v>
      </c>
      <c r="G8" s="87" t="s">
        <v>208</v>
      </c>
      <c r="H8" s="87" t="s">
        <v>208</v>
      </c>
      <c r="I8" s="87" t="s">
        <v>209</v>
      </c>
      <c r="J8" s="87" t="s">
        <v>187</v>
      </c>
      <c r="L8" s="87" t="s">
        <v>191</v>
      </c>
      <c r="M8" s="87" t="s">
        <v>192</v>
      </c>
      <c r="N8" s="87" t="s">
        <v>193</v>
      </c>
      <c r="O8" s="87" t="s">
        <v>194</v>
      </c>
      <c r="Q8" s="87" t="s">
        <v>195</v>
      </c>
      <c r="R8" s="87" t="s">
        <v>196</v>
      </c>
      <c r="T8" s="87" t="s">
        <v>197</v>
      </c>
      <c r="U8" s="87" t="s">
        <v>201</v>
      </c>
      <c r="V8" s="87" t="s">
        <v>201</v>
      </c>
      <c r="W8" s="87" t="s">
        <v>201</v>
      </c>
      <c r="Y8" s="87" t="s">
        <v>205</v>
      </c>
    </row>
    <row r="9" spans="1:789" x14ac:dyDescent="0.45">
      <c r="A9" s="92"/>
      <c r="B9" s="92"/>
      <c r="C9" s="93" t="s">
        <v>2</v>
      </c>
      <c r="D9" s="75" t="s">
        <v>15</v>
      </c>
      <c r="E9" s="75" t="s">
        <v>15</v>
      </c>
      <c r="F9" s="75" t="s">
        <v>15</v>
      </c>
      <c r="G9" s="75" t="s">
        <v>15</v>
      </c>
      <c r="H9" s="75" t="s">
        <v>15</v>
      </c>
      <c r="I9" s="75" t="s">
        <v>15</v>
      </c>
      <c r="J9" s="75" t="s">
        <v>15</v>
      </c>
      <c r="T9" s="75" t="s">
        <v>198</v>
      </c>
      <c r="U9" s="75">
        <v>90</v>
      </c>
      <c r="V9" s="75">
        <v>90</v>
      </c>
      <c r="W9" s="75">
        <v>91</v>
      </c>
    </row>
    <row r="10" spans="1:789" x14ac:dyDescent="0.45">
      <c r="A10" s="92"/>
      <c r="B10" s="92"/>
      <c r="C10" s="93" t="s">
        <v>65</v>
      </c>
      <c r="E10" s="75" t="s">
        <v>141</v>
      </c>
      <c r="T10" s="75" t="s">
        <v>199</v>
      </c>
      <c r="U10" s="75">
        <v>70</v>
      </c>
      <c r="V10" s="75">
        <v>71</v>
      </c>
      <c r="W10" s="75">
        <v>70</v>
      </c>
    </row>
    <row r="11" spans="1:789" x14ac:dyDescent="0.45">
      <c r="A11" s="92"/>
      <c r="B11" s="92"/>
      <c r="C11" s="93" t="s">
        <v>84</v>
      </c>
      <c r="D11" s="75">
        <v>100</v>
      </c>
      <c r="E11" s="75">
        <v>100</v>
      </c>
      <c r="F11" s="75">
        <v>100</v>
      </c>
      <c r="G11" s="75">
        <v>130</v>
      </c>
      <c r="H11" s="75">
        <v>130</v>
      </c>
      <c r="I11" s="75">
        <v>50</v>
      </c>
      <c r="J11" s="75">
        <v>50</v>
      </c>
      <c r="L11" s="75">
        <f>SUM(D11:J11)</f>
        <v>660</v>
      </c>
    </row>
    <row r="12" spans="1:789" hidden="1" x14ac:dyDescent="0.45">
      <c r="A12" s="92"/>
      <c r="B12" s="92"/>
      <c r="C12" s="93" t="s">
        <v>54</v>
      </c>
      <c r="G12" s="75">
        <v>120</v>
      </c>
      <c r="H12" s="75">
        <v>120</v>
      </c>
    </row>
    <row r="13" spans="1:789" hidden="1" x14ac:dyDescent="0.45">
      <c r="A13" s="92"/>
      <c r="B13" s="92"/>
      <c r="C13" s="93" t="s">
        <v>55</v>
      </c>
    </row>
    <row r="14" spans="1:789" hidden="1" x14ac:dyDescent="0.45">
      <c r="A14" s="92"/>
      <c r="B14" s="92"/>
      <c r="C14" s="93" t="s">
        <v>53</v>
      </c>
    </row>
    <row r="15" spans="1:789" hidden="1" x14ac:dyDescent="0.45">
      <c r="A15" s="92"/>
      <c r="B15" s="92"/>
      <c r="C15" s="93" t="s">
        <v>56</v>
      </c>
      <c r="G15" s="75">
        <v>100</v>
      </c>
      <c r="H15" s="75">
        <v>100</v>
      </c>
    </row>
    <row r="16" spans="1:789" hidden="1" x14ac:dyDescent="0.45">
      <c r="A16" s="92"/>
      <c r="B16" s="92"/>
      <c r="C16" s="93" t="s">
        <v>58</v>
      </c>
    </row>
    <row r="17" spans="1:23" x14ac:dyDescent="0.45">
      <c r="A17" s="92"/>
      <c r="B17" s="92"/>
      <c r="C17" s="93" t="s">
        <v>59</v>
      </c>
      <c r="D17" s="75">
        <f>調整後配点計算(D11,D12,D14,D15)</f>
        <v>100</v>
      </c>
      <c r="E17" s="75">
        <f>調整後配点計算(E11,E12,E14,E15)</f>
        <v>100</v>
      </c>
      <c r="F17" s="75">
        <f>調整後配点計算(F11,F12,F14,F15)</f>
        <v>100</v>
      </c>
      <c r="G17" s="75">
        <f>調整後配点計算(G11,G12,G14,G15)</f>
        <v>100</v>
      </c>
      <c r="H17" s="75">
        <f>調整後配点計算(H11,H12,H14,H15)</f>
        <v>100</v>
      </c>
      <c r="I17" s="75">
        <f>調整後配点計算(I11,I12,I14,I15)</f>
        <v>50</v>
      </c>
      <c r="J17" s="75">
        <f>調整後配点計算(J11,J12,J14,J15)</f>
        <v>50</v>
      </c>
      <c r="L17" s="75">
        <f>SUM(D17:J17)</f>
        <v>600</v>
      </c>
    </row>
    <row r="18" spans="1:23" x14ac:dyDescent="0.45">
      <c r="A18" s="92"/>
      <c r="B18" s="92"/>
      <c r="C18" s="93" t="s">
        <v>44</v>
      </c>
      <c r="D18" s="75">
        <v>1</v>
      </c>
      <c r="E18" s="75">
        <v>1</v>
      </c>
      <c r="F18" s="75">
        <v>1</v>
      </c>
      <c r="G18" s="75">
        <v>1</v>
      </c>
      <c r="H18" s="75">
        <v>1</v>
      </c>
      <c r="I18" s="75">
        <v>1</v>
      </c>
      <c r="J18" s="75">
        <v>1</v>
      </c>
      <c r="T18" s="75" t="s">
        <v>202</v>
      </c>
      <c r="U18" s="75">
        <f>COUNTIF(U23:U52,"A")</f>
        <v>0</v>
      </c>
      <c r="V18" s="75">
        <f>COUNTIF(V23:V52,"A")</f>
        <v>0</v>
      </c>
      <c r="W18" s="75">
        <f>COUNTIF(W23:W52,"A")</f>
        <v>0</v>
      </c>
    </row>
    <row r="19" spans="1:23" x14ac:dyDescent="0.45">
      <c r="A19" s="92"/>
      <c r="B19" s="92"/>
      <c r="C19" s="93" t="s">
        <v>8</v>
      </c>
      <c r="D19" s="75">
        <f t="shared" ref="D19:J19" si="0">IFERROR(AVERAGE(D23:D52),"")</f>
        <v>85.241379310344826</v>
      </c>
      <c r="E19" s="75">
        <f t="shared" si="0"/>
        <v>80</v>
      </c>
      <c r="F19" s="75">
        <f t="shared" si="0"/>
        <v>79.931034482758619</v>
      </c>
      <c r="G19" s="75">
        <f t="shared" si="0"/>
        <v>102.24137931034483</v>
      </c>
      <c r="H19" s="75">
        <f t="shared" si="0"/>
        <v>105.3</v>
      </c>
      <c r="I19" s="75">
        <f t="shared" si="0"/>
        <v>34.5</v>
      </c>
      <c r="J19" s="75">
        <f t="shared" si="0"/>
        <v>34.5</v>
      </c>
      <c r="T19" s="75" t="s">
        <v>203</v>
      </c>
      <c r="U19" s="75">
        <f>COUNTIF(U23:U52,"B")</f>
        <v>28</v>
      </c>
      <c r="V19" s="75">
        <f>COUNTIF(V23:V52,"B")</f>
        <v>28</v>
      </c>
      <c r="W19" s="75">
        <f>COUNTIF(W23:W52,"B")</f>
        <v>28</v>
      </c>
    </row>
    <row r="20" spans="1:23" x14ac:dyDescent="0.45">
      <c r="A20" s="92"/>
      <c r="B20" s="92"/>
      <c r="C20" s="93" t="s">
        <v>9</v>
      </c>
      <c r="D20" s="75">
        <f t="shared" ref="D20:J20" si="1">IFERROR(MEDIAN(D23:D52),"")</f>
        <v>85</v>
      </c>
      <c r="E20" s="75">
        <f t="shared" si="1"/>
        <v>80</v>
      </c>
      <c r="F20" s="75">
        <f t="shared" si="1"/>
        <v>80</v>
      </c>
      <c r="G20" s="75">
        <f t="shared" si="1"/>
        <v>101</v>
      </c>
      <c r="H20" s="75">
        <f t="shared" si="1"/>
        <v>104</v>
      </c>
      <c r="I20" s="75">
        <f t="shared" si="1"/>
        <v>34.5</v>
      </c>
      <c r="J20" s="75">
        <f t="shared" si="1"/>
        <v>34.5</v>
      </c>
      <c r="T20" s="75" t="s">
        <v>204</v>
      </c>
      <c r="U20" s="75">
        <f>COUNTIF(U23:U52,"C")</f>
        <v>2</v>
      </c>
      <c r="V20" s="75">
        <f>COUNTIF(V23:V52,"C")</f>
        <v>2</v>
      </c>
      <c r="W20" s="75">
        <f>COUNTIF(W23:W52,"C")</f>
        <v>2</v>
      </c>
    </row>
    <row r="21" spans="1:23" x14ac:dyDescent="0.45">
      <c r="A21" s="92"/>
      <c r="B21" s="92"/>
      <c r="C21" s="93" t="s">
        <v>10</v>
      </c>
      <c r="D21" s="75">
        <f t="shared" ref="D21:J21" si="2">IFERROR(_xlfn.STDEV.P(D23:D52),"")</f>
        <v>8.6886972652100436</v>
      </c>
      <c r="E21" s="75">
        <f t="shared" si="2"/>
        <v>0</v>
      </c>
      <c r="F21" s="75">
        <f t="shared" si="2"/>
        <v>0.36493121531925382</v>
      </c>
      <c r="G21" s="75">
        <f t="shared" si="2"/>
        <v>11.731640601422772</v>
      </c>
      <c r="H21" s="75">
        <f t="shared" si="2"/>
        <v>14.234113952051951</v>
      </c>
      <c r="I21" s="75">
        <f t="shared" si="2"/>
        <v>8.6554414483991895</v>
      </c>
      <c r="J21" s="75">
        <f t="shared" si="2"/>
        <v>8.6554414483991895</v>
      </c>
    </row>
    <row r="22" spans="1:23" ht="16.8" thickBot="1" x14ac:dyDescent="0.5">
      <c r="A22" s="96"/>
      <c r="B22" s="96"/>
      <c r="C22" s="97" t="s">
        <v>12</v>
      </c>
      <c r="D22" s="75">
        <f t="shared" ref="D22:J22" si="3">IFERROR(D21/D19,"")</f>
        <v>0.10193050998830552</v>
      </c>
      <c r="E22" s="75">
        <f t="shared" si="3"/>
        <v>0</v>
      </c>
      <c r="F22" s="75">
        <f t="shared" si="3"/>
        <v>4.5655760328983438E-3</v>
      </c>
      <c r="G22" s="75">
        <f t="shared" si="3"/>
        <v>0.1147445455113863</v>
      </c>
      <c r="H22" s="75">
        <f t="shared" si="3"/>
        <v>0.13517677067475736</v>
      </c>
      <c r="I22" s="75">
        <f t="shared" si="3"/>
        <v>0.2508823608231649</v>
      </c>
      <c r="J22" s="75">
        <f t="shared" si="3"/>
        <v>0.2508823608231649</v>
      </c>
    </row>
    <row r="23" spans="1:23" x14ac:dyDescent="0.45">
      <c r="A23" s="75" t="str">
        <f>名簿!B11&amp;""</f>
        <v>10010001</v>
      </c>
      <c r="B23" s="75" t="str">
        <f>名簿!C11&amp;""</f>
        <v>田中</v>
      </c>
      <c r="C23" s="75" t="str">
        <f>名簿!D11&amp;""</f>
        <v>雄介</v>
      </c>
      <c r="D23" s="75">
        <v>100</v>
      </c>
      <c r="E23" s="75">
        <v>80</v>
      </c>
      <c r="F23" s="75">
        <v>80</v>
      </c>
      <c r="G23" s="75">
        <v>112</v>
      </c>
      <c r="H23" s="75">
        <v>98</v>
      </c>
      <c r="I23" s="75">
        <v>20</v>
      </c>
      <c r="J23" s="75">
        <v>20</v>
      </c>
      <c r="L23" s="75">
        <f t="shared" ref="L23:L52" si="4">SUM(D23:J23)</f>
        <v>510</v>
      </c>
      <c r="M23" s="75">
        <f>SUMPRODUCT((D23:J23&lt;&gt;"-")*D11:J11)</f>
        <v>660</v>
      </c>
      <c r="N23" s="75">
        <f>SUMPRODUCT(D23:J23,D18:J18)</f>
        <v>510</v>
      </c>
      <c r="O23" s="75">
        <f>SUMPRODUCT((D23:J23&lt;&gt;"-")*D11:J11*D18:J18)</f>
        <v>660</v>
      </c>
      <c r="Q23" s="75">
        <f t="shared" ref="Q23:Q52" si="5">ROUND(100*L23/M23,1)</f>
        <v>77.3</v>
      </c>
      <c r="R23" s="75">
        <f t="shared" ref="R23:R52" si="6">ROUND(100*N23/O23,1)</f>
        <v>77.3</v>
      </c>
      <c r="U23" s="75" t="str">
        <f>IF(R23&gt;U9,"A",IF(R23&gt;U10,"B","C"))</f>
        <v>B</v>
      </c>
      <c r="V23" s="75" t="str">
        <f>IF(R23&gt;V9,"A",IF(R23&gt;V10,"B","C"))</f>
        <v>B</v>
      </c>
      <c r="W23" s="75" t="str">
        <f>IF(R23&gt;W9,"A",IF(R23&gt;W10,"B","C"))</f>
        <v>B</v>
      </c>
    </row>
    <row r="24" spans="1:23" x14ac:dyDescent="0.45">
      <c r="A24" s="75" t="str">
        <f>名簿!B12&amp;""</f>
        <v>10010002</v>
      </c>
      <c r="B24" s="75" t="str">
        <f>名簿!C12&amp;""</f>
        <v>佐藤</v>
      </c>
      <c r="C24" s="75" t="str">
        <f>名簿!D12&amp;""</f>
        <v>凛</v>
      </c>
      <c r="D24" s="75">
        <v>99</v>
      </c>
      <c r="E24" s="75">
        <v>80</v>
      </c>
      <c r="F24" s="75">
        <v>80</v>
      </c>
      <c r="G24" s="75">
        <v>89</v>
      </c>
      <c r="H24" s="75">
        <v>126</v>
      </c>
      <c r="I24" s="75">
        <v>21</v>
      </c>
      <c r="J24" s="75">
        <v>21</v>
      </c>
      <c r="L24" s="75">
        <f t="shared" si="4"/>
        <v>516</v>
      </c>
      <c r="M24" s="75">
        <f>SUMPRODUCT((D24:J24&lt;&gt;"-")*D11:J11)</f>
        <v>660</v>
      </c>
      <c r="N24" s="75">
        <f>SUMPRODUCT(D24:J24,D18:J18)</f>
        <v>516</v>
      </c>
      <c r="O24" s="75">
        <f>SUMPRODUCT((D24:J24&lt;&gt;"-")*D11:J11*D18:J18)</f>
        <v>660</v>
      </c>
      <c r="Q24" s="75">
        <f t="shared" si="5"/>
        <v>78.2</v>
      </c>
      <c r="R24" s="75">
        <f t="shared" si="6"/>
        <v>78.2</v>
      </c>
      <c r="U24" s="75" t="str">
        <f>IF(R24&gt;U9,"A",IF(R24&gt;U10,"B","C"))</f>
        <v>B</v>
      </c>
      <c r="V24" s="75" t="str">
        <f>IF(R24&gt;V9,"A",IF(R24&gt;V10,"B","C"))</f>
        <v>B</v>
      </c>
      <c r="W24" s="75" t="str">
        <f>IF(R24&gt;W9,"A",IF(R24&gt;W10,"B","C"))</f>
        <v>B</v>
      </c>
    </row>
    <row r="25" spans="1:23" x14ac:dyDescent="0.45">
      <c r="A25" s="75" t="str">
        <f>名簿!B13&amp;""</f>
        <v>10010003</v>
      </c>
      <c r="B25" s="75" t="str">
        <f>名簿!C13&amp;""</f>
        <v>鈴木</v>
      </c>
      <c r="C25" s="75" t="str">
        <f>名簿!D13&amp;""</f>
        <v>誠</v>
      </c>
      <c r="D25" s="75">
        <v>98</v>
      </c>
      <c r="E25" s="75">
        <v>80</v>
      </c>
      <c r="F25" s="75">
        <v>80</v>
      </c>
      <c r="G25" s="75">
        <v>90</v>
      </c>
      <c r="H25" s="75">
        <v>125</v>
      </c>
      <c r="I25" s="75">
        <v>22</v>
      </c>
      <c r="J25" s="75">
        <v>22</v>
      </c>
      <c r="L25" s="75">
        <f t="shared" si="4"/>
        <v>517</v>
      </c>
      <c r="M25" s="75">
        <f>SUMPRODUCT((D25:J25&lt;&gt;"-")*D11:J11)</f>
        <v>660</v>
      </c>
      <c r="N25" s="75">
        <f>SUMPRODUCT(D25:J25,D18:J18)</f>
        <v>517</v>
      </c>
      <c r="O25" s="75">
        <f>SUMPRODUCT((D25:J25&lt;&gt;"-")*D11:J11*D18:J18)</f>
        <v>660</v>
      </c>
      <c r="Q25" s="75">
        <f t="shared" si="5"/>
        <v>78.3</v>
      </c>
      <c r="R25" s="75">
        <f t="shared" si="6"/>
        <v>78.3</v>
      </c>
      <c r="U25" s="75" t="str">
        <f>IF(R25&gt;U9,"A",IF(R25&gt;U10,"B","C"))</f>
        <v>B</v>
      </c>
      <c r="V25" s="75" t="str">
        <f>IF(R25&gt;V9,"A",IF(R25&gt;V10,"B","C"))</f>
        <v>B</v>
      </c>
      <c r="W25" s="75" t="str">
        <f>IF(R25&gt;W9,"A",IF(R25&gt;W10,"B","C"))</f>
        <v>B</v>
      </c>
    </row>
    <row r="26" spans="1:23" x14ac:dyDescent="0.45">
      <c r="A26" s="75" t="str">
        <f>名簿!B14&amp;""</f>
        <v>10010004</v>
      </c>
      <c r="B26" s="75" t="str">
        <f>名簿!C14&amp;""</f>
        <v>高橋</v>
      </c>
      <c r="C26" s="75" t="str">
        <f>名簿!D14&amp;""</f>
        <v>美優</v>
      </c>
      <c r="D26" s="75">
        <v>97</v>
      </c>
      <c r="E26" s="75">
        <v>80</v>
      </c>
      <c r="F26" s="75">
        <v>80</v>
      </c>
      <c r="G26" s="75">
        <v>91</v>
      </c>
      <c r="H26" s="75">
        <v>96</v>
      </c>
      <c r="I26" s="75">
        <v>23</v>
      </c>
      <c r="J26" s="75">
        <v>23</v>
      </c>
      <c r="L26" s="75">
        <f t="shared" si="4"/>
        <v>490</v>
      </c>
      <c r="M26" s="75">
        <f>SUMPRODUCT((D26:J26&lt;&gt;"-")*D11:J11)</f>
        <v>660</v>
      </c>
      <c r="N26" s="75">
        <f>SUMPRODUCT(D26:J26,D18:J18)</f>
        <v>490</v>
      </c>
      <c r="O26" s="75">
        <f>SUMPRODUCT((D26:J26&lt;&gt;"-")*D11:J11*D18:J18)</f>
        <v>660</v>
      </c>
      <c r="Q26" s="75">
        <f t="shared" si="5"/>
        <v>74.2</v>
      </c>
      <c r="R26" s="75">
        <f t="shared" si="6"/>
        <v>74.2</v>
      </c>
      <c r="U26" s="75" t="str">
        <f>IF(R26&gt;U9,"A",IF(R26&gt;U10,"B","C"))</f>
        <v>B</v>
      </c>
      <c r="V26" s="75" t="str">
        <f>IF(R26&gt;V9,"A",IF(R26&gt;V10,"B","C"))</f>
        <v>B</v>
      </c>
      <c r="W26" s="75" t="str">
        <f>IF(R26&gt;W9,"A",IF(R26&gt;W10,"B","C"))</f>
        <v>B</v>
      </c>
    </row>
    <row r="27" spans="1:23" x14ac:dyDescent="0.45">
      <c r="A27" s="75" t="str">
        <f>名簿!B15&amp;""</f>
        <v>10010005</v>
      </c>
      <c r="B27" s="75" t="str">
        <f>名簿!C15&amp;""</f>
        <v>渡辺</v>
      </c>
      <c r="C27" s="75" t="str">
        <f>名簿!D15&amp;""</f>
        <v>誠</v>
      </c>
      <c r="D27" s="75">
        <v>96</v>
      </c>
      <c r="E27" s="75">
        <v>80</v>
      </c>
      <c r="F27" s="75">
        <v>80</v>
      </c>
      <c r="G27" s="75">
        <v>86</v>
      </c>
      <c r="H27" s="75">
        <v>93</v>
      </c>
      <c r="I27" s="75">
        <v>24</v>
      </c>
      <c r="J27" s="75">
        <v>24</v>
      </c>
      <c r="L27" s="75">
        <f t="shared" si="4"/>
        <v>483</v>
      </c>
      <c r="M27" s="75">
        <f>SUMPRODUCT((D27:J27&lt;&gt;"-")*D11:J11)</f>
        <v>660</v>
      </c>
      <c r="N27" s="75">
        <f>SUMPRODUCT(D27:J27,D18:J18)</f>
        <v>483</v>
      </c>
      <c r="O27" s="75">
        <f>SUMPRODUCT((D27:J27&lt;&gt;"-")*D11:J11*D18:J18)</f>
        <v>660</v>
      </c>
      <c r="Q27" s="75">
        <f t="shared" si="5"/>
        <v>73.2</v>
      </c>
      <c r="R27" s="75">
        <f t="shared" si="6"/>
        <v>73.2</v>
      </c>
      <c r="U27" s="75" t="str">
        <f>IF(R27&gt;U9,"A",IF(R27&gt;U10,"B","C"))</f>
        <v>B</v>
      </c>
      <c r="V27" s="75" t="str">
        <f>IF(R27&gt;V9,"A",IF(R27&gt;V10,"B","C"))</f>
        <v>B</v>
      </c>
      <c r="W27" s="75" t="str">
        <f>IF(R27&gt;W9,"A",IF(R27&gt;W10,"B","C"))</f>
        <v>B</v>
      </c>
    </row>
    <row r="28" spans="1:23" x14ac:dyDescent="0.45">
      <c r="A28" s="75" t="str">
        <f>名簿!B16&amp;""</f>
        <v>10010006</v>
      </c>
      <c r="B28" s="75" t="str">
        <f>名簿!C16&amp;""</f>
        <v>伊藤</v>
      </c>
      <c r="C28" s="75" t="str">
        <f>名簿!D16&amp;""</f>
        <v>凛</v>
      </c>
      <c r="D28" s="75">
        <v>95</v>
      </c>
      <c r="E28" s="75">
        <v>80</v>
      </c>
      <c r="F28" s="75">
        <v>80</v>
      </c>
      <c r="G28" s="75">
        <v>118</v>
      </c>
      <c r="H28" s="75">
        <v>106</v>
      </c>
      <c r="I28" s="75">
        <v>25</v>
      </c>
      <c r="J28" s="75">
        <v>25</v>
      </c>
      <c r="L28" s="75">
        <f t="shared" si="4"/>
        <v>529</v>
      </c>
      <c r="M28" s="75">
        <f>SUMPRODUCT((D28:J28&lt;&gt;"-")*D11:J11)</f>
        <v>660</v>
      </c>
      <c r="N28" s="75">
        <f>SUMPRODUCT(D28:J28,D18:J18)</f>
        <v>529</v>
      </c>
      <c r="O28" s="75">
        <f>SUMPRODUCT((D28:J28&lt;&gt;"-")*D11:J11*D18:J18)</f>
        <v>660</v>
      </c>
      <c r="Q28" s="75">
        <f t="shared" si="5"/>
        <v>80.2</v>
      </c>
      <c r="R28" s="75">
        <f t="shared" si="6"/>
        <v>80.2</v>
      </c>
      <c r="U28" s="75" t="str">
        <f>IF(R28&gt;U9,"A",IF(R28&gt;U10,"B","C"))</f>
        <v>B</v>
      </c>
      <c r="V28" s="75" t="str">
        <f>IF(R28&gt;V9,"A",IF(R28&gt;V10,"B","C"))</f>
        <v>B</v>
      </c>
      <c r="W28" s="75" t="str">
        <f>IF(R28&gt;W9,"A",IF(R28&gt;W10,"B","C"))</f>
        <v>B</v>
      </c>
    </row>
    <row r="29" spans="1:23" x14ac:dyDescent="0.45">
      <c r="A29" s="75" t="str">
        <f>名簿!B17&amp;""</f>
        <v>10010007</v>
      </c>
      <c r="B29" s="75" t="str">
        <f>名簿!C17&amp;""</f>
        <v>山本</v>
      </c>
      <c r="C29" s="75" t="str">
        <f>名簿!D17&amp;""</f>
        <v>太郎</v>
      </c>
      <c r="D29" s="75">
        <v>94</v>
      </c>
      <c r="E29" s="75">
        <v>80</v>
      </c>
      <c r="F29" s="75">
        <v>80</v>
      </c>
      <c r="G29" s="75">
        <v>89</v>
      </c>
      <c r="H29" s="75">
        <v>84</v>
      </c>
      <c r="I29" s="75">
        <v>26</v>
      </c>
      <c r="J29" s="75">
        <v>26</v>
      </c>
      <c r="L29" s="75">
        <f t="shared" si="4"/>
        <v>479</v>
      </c>
      <c r="M29" s="75">
        <f>SUMPRODUCT((D29:J29&lt;&gt;"-")*D11:J11)</f>
        <v>660</v>
      </c>
      <c r="N29" s="75">
        <f>SUMPRODUCT(D29:J29,D18:J18)</f>
        <v>479</v>
      </c>
      <c r="O29" s="75">
        <f>SUMPRODUCT((D29:J29&lt;&gt;"-")*D11:J11*D18:J18)</f>
        <v>660</v>
      </c>
      <c r="Q29" s="75">
        <f t="shared" si="5"/>
        <v>72.599999999999994</v>
      </c>
      <c r="R29" s="75">
        <f t="shared" si="6"/>
        <v>72.599999999999994</v>
      </c>
      <c r="U29" s="75" t="str">
        <f>IF(R29&gt;U9,"A",IF(R29&gt;U10,"B","C"))</f>
        <v>B</v>
      </c>
      <c r="V29" s="75" t="str">
        <f>IF(R29&gt;V9,"A",IF(R29&gt;V10,"B","C"))</f>
        <v>B</v>
      </c>
      <c r="W29" s="75" t="str">
        <f>IF(R29&gt;W9,"A",IF(R29&gt;W10,"B","C"))</f>
        <v>B</v>
      </c>
    </row>
    <row r="30" spans="1:23" x14ac:dyDescent="0.45">
      <c r="A30" s="75" t="str">
        <f>名簿!B18&amp;""</f>
        <v>10010008</v>
      </c>
      <c r="B30" s="75" t="str">
        <f>名簿!C18&amp;""</f>
        <v>中村</v>
      </c>
      <c r="C30" s="75" t="str">
        <f>名簿!D18&amp;""</f>
        <v>真央</v>
      </c>
      <c r="E30" s="75">
        <v>80</v>
      </c>
      <c r="F30" s="75">
        <v>80</v>
      </c>
      <c r="G30" s="75">
        <v>119</v>
      </c>
      <c r="H30" s="75">
        <v>104</v>
      </c>
      <c r="I30" s="75">
        <v>27</v>
      </c>
      <c r="J30" s="75">
        <v>27</v>
      </c>
      <c r="L30" s="75">
        <f t="shared" si="4"/>
        <v>437</v>
      </c>
      <c r="M30" s="75">
        <f>SUMPRODUCT((D30:J30&lt;&gt;"-")*D11:J11)</f>
        <v>660</v>
      </c>
      <c r="N30" s="75">
        <f>SUMPRODUCT(D30:J30,D18:J18)</f>
        <v>437</v>
      </c>
      <c r="O30" s="75">
        <f>SUMPRODUCT((D30:J30&lt;&gt;"-")*D11:J11*D18:J18)</f>
        <v>660</v>
      </c>
      <c r="Q30" s="75">
        <f t="shared" si="5"/>
        <v>66.2</v>
      </c>
      <c r="R30" s="75">
        <f t="shared" si="6"/>
        <v>66.2</v>
      </c>
      <c r="U30" s="75" t="str">
        <f>IF(R30&gt;U9,"A",IF(R30&gt;U10,"B","C"))</f>
        <v>C</v>
      </c>
      <c r="V30" s="75" t="str">
        <f>IF(R30&gt;V9,"A",IF(R30&gt;V10,"B","C"))</f>
        <v>C</v>
      </c>
      <c r="W30" s="75" t="str">
        <f>IF(R30&gt;W9,"A",IF(R30&gt;W10,"B","C"))</f>
        <v>C</v>
      </c>
    </row>
    <row r="31" spans="1:23" x14ac:dyDescent="0.45">
      <c r="A31" s="75" t="str">
        <f>名簿!B19&amp;""</f>
        <v>10010009</v>
      </c>
      <c r="B31" s="75" t="str">
        <f>名簿!C19&amp;""</f>
        <v>小林</v>
      </c>
      <c r="C31" s="75" t="str">
        <f>名簿!D19&amp;""</f>
        <v>浩</v>
      </c>
      <c r="D31" s="75">
        <v>92</v>
      </c>
      <c r="E31" s="75">
        <v>80</v>
      </c>
      <c r="F31" s="75">
        <v>80</v>
      </c>
      <c r="G31" s="75">
        <v>87</v>
      </c>
      <c r="H31" s="75">
        <v>123</v>
      </c>
      <c r="I31" s="75">
        <v>28</v>
      </c>
      <c r="J31" s="75">
        <v>28</v>
      </c>
      <c r="L31" s="75">
        <f t="shared" si="4"/>
        <v>518</v>
      </c>
      <c r="M31" s="75">
        <f>SUMPRODUCT((D31:J31&lt;&gt;"-")*D11:J11)</f>
        <v>660</v>
      </c>
      <c r="N31" s="75">
        <f>SUMPRODUCT(D31:J31,D18:J18)</f>
        <v>518</v>
      </c>
      <c r="O31" s="75">
        <f>SUMPRODUCT((D31:J31&lt;&gt;"-")*D11:J11*D18:J18)</f>
        <v>660</v>
      </c>
      <c r="Q31" s="75">
        <f t="shared" si="5"/>
        <v>78.5</v>
      </c>
      <c r="R31" s="75">
        <f t="shared" si="6"/>
        <v>78.5</v>
      </c>
      <c r="U31" s="75" t="str">
        <f>IF(R31&gt;U9,"A",IF(R31&gt;U10,"B","C"))</f>
        <v>B</v>
      </c>
      <c r="V31" s="75" t="str">
        <f>IF(R31&gt;V9,"A",IF(R31&gt;V10,"B","C"))</f>
        <v>B</v>
      </c>
      <c r="W31" s="75" t="str">
        <f>IF(R31&gt;W9,"A",IF(R31&gt;W10,"B","C"))</f>
        <v>B</v>
      </c>
    </row>
    <row r="32" spans="1:23" x14ac:dyDescent="0.45">
      <c r="A32" s="75" t="str">
        <f>名簿!B20&amp;""</f>
        <v>10010010</v>
      </c>
      <c r="B32" s="75" t="str">
        <f>名簿!C20&amp;""</f>
        <v>加藤</v>
      </c>
      <c r="C32" s="75" t="str">
        <f>名簿!D20&amp;""</f>
        <v>さくら</v>
      </c>
      <c r="D32" s="75">
        <v>91</v>
      </c>
      <c r="E32" s="75">
        <v>80</v>
      </c>
      <c r="F32" s="75">
        <v>80</v>
      </c>
      <c r="G32" s="75">
        <v>126</v>
      </c>
      <c r="H32" s="75">
        <v>82</v>
      </c>
      <c r="I32" s="75">
        <v>29</v>
      </c>
      <c r="J32" s="75">
        <v>29</v>
      </c>
      <c r="L32" s="75">
        <f t="shared" si="4"/>
        <v>517</v>
      </c>
      <c r="M32" s="75">
        <f>SUMPRODUCT((D32:J32&lt;&gt;"-")*D11:J11)</f>
        <v>660</v>
      </c>
      <c r="N32" s="75">
        <f>SUMPRODUCT(D32:J32,D18:J18)</f>
        <v>517</v>
      </c>
      <c r="O32" s="75">
        <f>SUMPRODUCT((D32:J32&lt;&gt;"-")*D11:J11*D18:J18)</f>
        <v>660</v>
      </c>
      <c r="Q32" s="75">
        <f t="shared" si="5"/>
        <v>78.3</v>
      </c>
      <c r="R32" s="75">
        <f t="shared" si="6"/>
        <v>78.3</v>
      </c>
      <c r="U32" s="75" t="str">
        <f>IF(R32&gt;U9,"A",IF(R32&gt;U10,"B","C"))</f>
        <v>B</v>
      </c>
      <c r="V32" s="75" t="str">
        <f>IF(R32&gt;V9,"A",IF(R32&gt;V10,"B","C"))</f>
        <v>B</v>
      </c>
      <c r="W32" s="75" t="str">
        <f>IF(R32&gt;W9,"A",IF(R32&gt;W10,"B","C"))</f>
        <v>B</v>
      </c>
    </row>
    <row r="33" spans="1:23" x14ac:dyDescent="0.45">
      <c r="A33" s="75" t="str">
        <f>名簿!B21&amp;""</f>
        <v>10010011</v>
      </c>
      <c r="B33" s="75" t="str">
        <f>名簿!C21&amp;""</f>
        <v>吉田</v>
      </c>
      <c r="C33" s="75" t="str">
        <f>名簿!D21&amp;""</f>
        <v>亮</v>
      </c>
      <c r="D33" s="75">
        <v>90</v>
      </c>
      <c r="F33" s="75">
        <v>80</v>
      </c>
      <c r="G33" s="75">
        <v>103</v>
      </c>
      <c r="H33" s="75">
        <v>91</v>
      </c>
      <c r="I33" s="75">
        <v>30</v>
      </c>
      <c r="J33" s="75">
        <v>30</v>
      </c>
      <c r="L33" s="75">
        <f t="shared" si="4"/>
        <v>424</v>
      </c>
      <c r="M33" s="75">
        <f>SUMPRODUCT((D33:J33&lt;&gt;"-")*D11:J11)</f>
        <v>660</v>
      </c>
      <c r="N33" s="75">
        <f>SUMPRODUCT(D33:J33,D18:J18)</f>
        <v>424</v>
      </c>
      <c r="O33" s="75">
        <f>SUMPRODUCT((D33:J33&lt;&gt;"-")*D11:J11*D18:J18)</f>
        <v>660</v>
      </c>
      <c r="Q33" s="75">
        <f t="shared" si="5"/>
        <v>64.2</v>
      </c>
      <c r="R33" s="75">
        <f t="shared" si="6"/>
        <v>64.2</v>
      </c>
      <c r="U33" s="75" t="str">
        <f>IF(R33&gt;U9,"A",IF(R33&gt;U10,"B","C"))</f>
        <v>C</v>
      </c>
      <c r="V33" s="75" t="str">
        <f>IF(R33&gt;V9,"A",IF(R33&gt;V10,"B","C"))</f>
        <v>C</v>
      </c>
      <c r="W33" s="75" t="str">
        <f>IF(R33&gt;W9,"A",IF(R33&gt;W10,"B","C"))</f>
        <v>C</v>
      </c>
    </row>
    <row r="34" spans="1:23" x14ac:dyDescent="0.45">
      <c r="A34" s="75" t="str">
        <f>名簿!B22&amp;""</f>
        <v>10010012</v>
      </c>
      <c r="B34" s="75" t="str">
        <f>名簿!C22&amp;""</f>
        <v>山田</v>
      </c>
      <c r="C34" s="75" t="str">
        <f>名簿!D22&amp;""</f>
        <v>愛</v>
      </c>
      <c r="D34" s="75">
        <v>89</v>
      </c>
      <c r="E34" s="75">
        <v>80</v>
      </c>
      <c r="F34" s="75">
        <v>80</v>
      </c>
      <c r="G34" s="75">
        <v>100</v>
      </c>
      <c r="H34" s="75">
        <v>103</v>
      </c>
      <c r="I34" s="75">
        <v>31</v>
      </c>
      <c r="J34" s="75">
        <v>31</v>
      </c>
      <c r="L34" s="75">
        <f t="shared" si="4"/>
        <v>514</v>
      </c>
      <c r="M34" s="75">
        <f>SUMPRODUCT((D34:J34&lt;&gt;"-")*D11:J11)</f>
        <v>660</v>
      </c>
      <c r="N34" s="75">
        <f>SUMPRODUCT(D34:J34,D18:J18)</f>
        <v>514</v>
      </c>
      <c r="O34" s="75">
        <f>SUMPRODUCT((D34:J34&lt;&gt;"-")*D11:J11*D18:J18)</f>
        <v>660</v>
      </c>
      <c r="Q34" s="75">
        <f t="shared" si="5"/>
        <v>77.900000000000006</v>
      </c>
      <c r="R34" s="75">
        <f t="shared" si="6"/>
        <v>77.900000000000006</v>
      </c>
      <c r="U34" s="75" t="str">
        <f>IF(R34&gt;U9,"A",IF(R34&gt;U10,"B","C"))</f>
        <v>B</v>
      </c>
      <c r="V34" s="75" t="str">
        <f>IF(R34&gt;V9,"A",IF(R34&gt;V10,"B","C"))</f>
        <v>B</v>
      </c>
      <c r="W34" s="75" t="str">
        <f>IF(R34&gt;W9,"A",IF(R34&gt;W10,"B","C"))</f>
        <v>B</v>
      </c>
    </row>
    <row r="35" spans="1:23" x14ac:dyDescent="0.45">
      <c r="A35" s="75" t="str">
        <f>名簿!B23&amp;""</f>
        <v>10010013</v>
      </c>
      <c r="B35" s="75" t="str">
        <f>名簿!C23&amp;""</f>
        <v>佐々木</v>
      </c>
      <c r="C35" s="75" t="str">
        <f>名簿!D23&amp;""</f>
        <v>浩</v>
      </c>
      <c r="D35" s="75">
        <v>88</v>
      </c>
      <c r="E35" s="75">
        <v>80</v>
      </c>
      <c r="F35" s="75">
        <v>80</v>
      </c>
      <c r="G35" s="75">
        <v>96</v>
      </c>
      <c r="H35" s="75">
        <v>107</v>
      </c>
      <c r="I35" s="75">
        <v>32</v>
      </c>
      <c r="J35" s="75">
        <v>32</v>
      </c>
      <c r="L35" s="75">
        <f t="shared" si="4"/>
        <v>515</v>
      </c>
      <c r="M35" s="75">
        <f>SUMPRODUCT((D35:J35&lt;&gt;"-")*D11:J11)</f>
        <v>660</v>
      </c>
      <c r="N35" s="75">
        <f>SUMPRODUCT(D35:J35,D18:J18)</f>
        <v>515</v>
      </c>
      <c r="O35" s="75">
        <f>SUMPRODUCT((D35:J35&lt;&gt;"-")*D11:J11*D18:J18)</f>
        <v>660</v>
      </c>
      <c r="Q35" s="75">
        <f t="shared" si="5"/>
        <v>78</v>
      </c>
      <c r="R35" s="75">
        <f t="shared" si="6"/>
        <v>78</v>
      </c>
      <c r="U35" s="75" t="str">
        <f>IF(R35&gt;U9,"A",IF(R35&gt;U10,"B","C"))</f>
        <v>B</v>
      </c>
      <c r="V35" s="75" t="str">
        <f>IF(R35&gt;V9,"A",IF(R35&gt;V10,"B","C"))</f>
        <v>B</v>
      </c>
      <c r="W35" s="75" t="str">
        <f>IF(R35&gt;W9,"A",IF(R35&gt;W10,"B","C"))</f>
        <v>B</v>
      </c>
    </row>
    <row r="36" spans="1:23" x14ac:dyDescent="0.45">
      <c r="A36" s="75" t="str">
        <f>名簿!B24&amp;""</f>
        <v>10010014</v>
      </c>
      <c r="B36" s="75" t="str">
        <f>名簿!C24&amp;""</f>
        <v>山口</v>
      </c>
      <c r="C36" s="75" t="str">
        <f>名簿!D24&amp;""</f>
        <v>結衣</v>
      </c>
      <c r="D36" s="75">
        <v>87</v>
      </c>
      <c r="E36" s="75">
        <v>80</v>
      </c>
      <c r="F36" s="75">
        <v>78</v>
      </c>
      <c r="G36" s="75">
        <v>107</v>
      </c>
      <c r="H36" s="75">
        <v>91</v>
      </c>
      <c r="I36" s="75">
        <v>33</v>
      </c>
      <c r="J36" s="75">
        <v>33</v>
      </c>
      <c r="L36" s="75">
        <f t="shared" si="4"/>
        <v>509</v>
      </c>
      <c r="M36" s="75">
        <f>SUMPRODUCT((D36:J36&lt;&gt;"-")*D11:J11)</f>
        <v>660</v>
      </c>
      <c r="N36" s="75">
        <f>SUMPRODUCT(D36:J36,D18:J18)</f>
        <v>509</v>
      </c>
      <c r="O36" s="75">
        <f>SUMPRODUCT((D36:J36&lt;&gt;"-")*D11:J11*D18:J18)</f>
        <v>660</v>
      </c>
      <c r="Q36" s="75">
        <f t="shared" si="5"/>
        <v>77.099999999999994</v>
      </c>
      <c r="R36" s="75">
        <f t="shared" si="6"/>
        <v>77.099999999999994</v>
      </c>
      <c r="U36" s="75" t="str">
        <f>IF(R36&gt;U9,"A",IF(R36&gt;U10,"B","C"))</f>
        <v>B</v>
      </c>
      <c r="V36" s="75" t="str">
        <f>IF(R36&gt;V9,"A",IF(R36&gt;V10,"B","C"))</f>
        <v>B</v>
      </c>
      <c r="W36" s="75" t="str">
        <f>IF(R36&gt;W9,"A",IF(R36&gt;W10,"B","C"))</f>
        <v>B</v>
      </c>
    </row>
    <row r="37" spans="1:23" x14ac:dyDescent="0.45">
      <c r="A37" s="75" t="str">
        <f>名簿!B25&amp;""</f>
        <v>10010015</v>
      </c>
      <c r="B37" s="75" t="str">
        <f>名簿!C25&amp;""</f>
        <v>松本</v>
      </c>
      <c r="C37" s="75" t="str">
        <f>名簿!D25&amp;""</f>
        <v>浩</v>
      </c>
      <c r="D37" s="75">
        <v>86</v>
      </c>
      <c r="E37" s="75">
        <v>80</v>
      </c>
      <c r="F37" s="75">
        <v>80</v>
      </c>
      <c r="G37" s="75" t="s">
        <v>210</v>
      </c>
      <c r="H37" s="75">
        <v>104</v>
      </c>
      <c r="I37" s="75">
        <v>34</v>
      </c>
      <c r="J37" s="75">
        <v>34</v>
      </c>
      <c r="L37" s="75">
        <f t="shared" si="4"/>
        <v>418</v>
      </c>
      <c r="M37" s="75">
        <f>SUMPRODUCT((D37:J37&lt;&gt;"-")*D11:J11)</f>
        <v>530</v>
      </c>
      <c r="N37" s="75">
        <f>SUMPRODUCT(D37:J37,D18:J18)</f>
        <v>418</v>
      </c>
      <c r="O37" s="75">
        <f>SUMPRODUCT((D37:J37&lt;&gt;"-")*D11:J11*D18:J18)</f>
        <v>530</v>
      </c>
      <c r="Q37" s="75">
        <f t="shared" si="5"/>
        <v>78.900000000000006</v>
      </c>
      <c r="R37" s="75">
        <f t="shared" si="6"/>
        <v>78.900000000000006</v>
      </c>
      <c r="U37" s="75" t="str">
        <f>IF(R37&gt;U9,"A",IF(R37&gt;U10,"B","C"))</f>
        <v>B</v>
      </c>
      <c r="V37" s="75" t="str">
        <f>IF(R37&gt;V9,"A",IF(R37&gt;V10,"B","C"))</f>
        <v>B</v>
      </c>
      <c r="W37" s="75" t="str">
        <f>IF(R37&gt;W9,"A",IF(R37&gt;W10,"B","C"))</f>
        <v>B</v>
      </c>
    </row>
    <row r="38" spans="1:23" x14ac:dyDescent="0.45">
      <c r="A38" s="75" t="str">
        <f>名簿!B26&amp;""</f>
        <v>10010016</v>
      </c>
      <c r="B38" s="75" t="str">
        <f>名簿!C26&amp;""</f>
        <v>井上</v>
      </c>
      <c r="C38" s="75" t="str">
        <f>名簿!D26&amp;""</f>
        <v>結衣</v>
      </c>
      <c r="D38" s="75">
        <v>85</v>
      </c>
      <c r="E38" s="75">
        <v>80</v>
      </c>
      <c r="F38" s="75">
        <v>80</v>
      </c>
      <c r="G38" s="75">
        <v>92</v>
      </c>
      <c r="H38" s="75">
        <v>119</v>
      </c>
      <c r="I38" s="75">
        <v>35</v>
      </c>
      <c r="J38" s="75">
        <v>35</v>
      </c>
      <c r="L38" s="75">
        <f t="shared" si="4"/>
        <v>526</v>
      </c>
      <c r="M38" s="75">
        <f>SUMPRODUCT((D38:J38&lt;&gt;"-")*D11:J11)</f>
        <v>660</v>
      </c>
      <c r="N38" s="75">
        <f>SUMPRODUCT(D38:J38,D18:J18)</f>
        <v>526</v>
      </c>
      <c r="O38" s="75">
        <f>SUMPRODUCT((D38:J38&lt;&gt;"-")*D11:J11*D18:J18)</f>
        <v>660</v>
      </c>
      <c r="Q38" s="75">
        <f t="shared" si="5"/>
        <v>79.7</v>
      </c>
      <c r="R38" s="75">
        <f t="shared" si="6"/>
        <v>79.7</v>
      </c>
      <c r="U38" s="75" t="str">
        <f>IF(R38&gt;U9,"A",IF(R38&gt;U10,"B","C"))</f>
        <v>B</v>
      </c>
      <c r="V38" s="75" t="str">
        <f>IF(R38&gt;V9,"A",IF(R38&gt;V10,"B","C"))</f>
        <v>B</v>
      </c>
      <c r="W38" s="75" t="str">
        <f>IF(R38&gt;W9,"A",IF(R38&gt;W10,"B","C"))</f>
        <v>B</v>
      </c>
    </row>
    <row r="39" spans="1:23" x14ac:dyDescent="0.45">
      <c r="A39" s="75" t="str">
        <f>名簿!B27&amp;""</f>
        <v>10010017</v>
      </c>
      <c r="B39" s="75" t="str">
        <f>名簿!C27&amp;""</f>
        <v>木村</v>
      </c>
      <c r="C39" s="75" t="str">
        <f>名簿!D27&amp;""</f>
        <v>学</v>
      </c>
      <c r="D39" s="75">
        <v>84</v>
      </c>
      <c r="E39" s="75">
        <v>80</v>
      </c>
      <c r="F39" s="75">
        <v>80</v>
      </c>
      <c r="G39" s="75">
        <v>111</v>
      </c>
      <c r="H39" s="75">
        <v>121</v>
      </c>
      <c r="I39" s="75">
        <v>36</v>
      </c>
      <c r="J39" s="75">
        <v>36</v>
      </c>
      <c r="L39" s="75">
        <f t="shared" si="4"/>
        <v>548</v>
      </c>
      <c r="M39" s="75">
        <f>SUMPRODUCT((D39:J39&lt;&gt;"-")*D11:J11)</f>
        <v>660</v>
      </c>
      <c r="N39" s="75">
        <f>SUMPRODUCT(D39:J39,D18:J18)</f>
        <v>548</v>
      </c>
      <c r="O39" s="75">
        <f>SUMPRODUCT((D39:J39&lt;&gt;"-")*D11:J11*D18:J18)</f>
        <v>660</v>
      </c>
      <c r="Q39" s="75">
        <f t="shared" si="5"/>
        <v>83</v>
      </c>
      <c r="R39" s="75">
        <f t="shared" si="6"/>
        <v>83</v>
      </c>
      <c r="U39" s="75" t="str">
        <f>IF(R39&gt;U9,"A",IF(R39&gt;U10,"B","C"))</f>
        <v>B</v>
      </c>
      <c r="V39" s="75" t="str">
        <f>IF(R39&gt;V9,"A",IF(R39&gt;V10,"B","C"))</f>
        <v>B</v>
      </c>
      <c r="W39" s="75" t="str">
        <f>IF(R39&gt;W9,"A",IF(R39&gt;W10,"B","C"))</f>
        <v>B</v>
      </c>
    </row>
    <row r="40" spans="1:23" x14ac:dyDescent="0.45">
      <c r="A40" s="75" t="str">
        <f>名簿!B28&amp;""</f>
        <v>10010018</v>
      </c>
      <c r="B40" s="75" t="str">
        <f>名簿!C28&amp;""</f>
        <v>林</v>
      </c>
      <c r="C40" s="75" t="str">
        <f>名簿!D28&amp;""</f>
        <v>凛</v>
      </c>
      <c r="D40" s="75">
        <v>83</v>
      </c>
      <c r="E40" s="75">
        <v>80</v>
      </c>
      <c r="F40" s="75" t="s">
        <v>210</v>
      </c>
      <c r="G40" s="75">
        <v>114</v>
      </c>
      <c r="H40" s="75">
        <v>129</v>
      </c>
      <c r="I40" s="75">
        <v>37</v>
      </c>
      <c r="J40" s="75">
        <v>37</v>
      </c>
      <c r="L40" s="75">
        <f t="shared" si="4"/>
        <v>480</v>
      </c>
      <c r="M40" s="75">
        <f>SUMPRODUCT((D40:J40&lt;&gt;"-")*D11:J11)</f>
        <v>560</v>
      </c>
      <c r="N40" s="75">
        <f>SUMPRODUCT(D40:J40,D18:J18)</f>
        <v>480</v>
      </c>
      <c r="O40" s="75">
        <f>SUMPRODUCT((D40:J40&lt;&gt;"-")*D11:J11*D18:J18)</f>
        <v>560</v>
      </c>
      <c r="Q40" s="75">
        <f t="shared" si="5"/>
        <v>85.7</v>
      </c>
      <c r="R40" s="75">
        <f t="shared" si="6"/>
        <v>85.7</v>
      </c>
      <c r="U40" s="75" t="str">
        <f>IF(R40&gt;U9,"A",IF(R40&gt;U10,"B","C"))</f>
        <v>B</v>
      </c>
      <c r="V40" s="75" t="str">
        <f>IF(R40&gt;V9,"A",IF(R40&gt;V10,"B","C"))</f>
        <v>B</v>
      </c>
      <c r="W40" s="75" t="str">
        <f>IF(R40&gt;W9,"A",IF(R40&gt;W10,"B","C"))</f>
        <v>B</v>
      </c>
    </row>
    <row r="41" spans="1:23" x14ac:dyDescent="0.45">
      <c r="A41" s="75" t="str">
        <f>名簿!B29&amp;""</f>
        <v>10010019</v>
      </c>
      <c r="B41" s="75" t="str">
        <f>名簿!C29&amp;""</f>
        <v>斎藤</v>
      </c>
      <c r="C41" s="75" t="str">
        <f>名簿!D29&amp;""</f>
        <v>翔太</v>
      </c>
      <c r="D41" s="75">
        <v>82</v>
      </c>
      <c r="E41" s="75">
        <v>80</v>
      </c>
      <c r="F41" s="75">
        <v>80</v>
      </c>
      <c r="G41" s="75">
        <v>89</v>
      </c>
      <c r="H41" s="75">
        <v>101</v>
      </c>
      <c r="I41" s="75">
        <v>38</v>
      </c>
      <c r="J41" s="75">
        <v>38</v>
      </c>
      <c r="L41" s="75">
        <f t="shared" si="4"/>
        <v>508</v>
      </c>
      <c r="M41" s="75">
        <f>SUMPRODUCT((D41:J41&lt;&gt;"-")*D11:J11)</f>
        <v>660</v>
      </c>
      <c r="N41" s="75">
        <f>SUMPRODUCT(D41:J41,D18:J18)</f>
        <v>508</v>
      </c>
      <c r="O41" s="75">
        <f>SUMPRODUCT((D41:J41&lt;&gt;"-")*D11:J11*D18:J18)</f>
        <v>660</v>
      </c>
      <c r="Q41" s="75">
        <f t="shared" si="5"/>
        <v>77</v>
      </c>
      <c r="R41" s="75">
        <f t="shared" si="6"/>
        <v>77</v>
      </c>
      <c r="U41" s="75" t="str">
        <f>IF(R41&gt;U9,"A",IF(R41&gt;U10,"B","C"))</f>
        <v>B</v>
      </c>
      <c r="V41" s="75" t="str">
        <f>IF(R41&gt;V9,"A",IF(R41&gt;V10,"B","C"))</f>
        <v>B</v>
      </c>
      <c r="W41" s="75" t="str">
        <f>IF(R41&gt;W9,"A",IF(R41&gt;W10,"B","C"))</f>
        <v>B</v>
      </c>
    </row>
    <row r="42" spans="1:23" x14ac:dyDescent="0.45">
      <c r="A42" s="75" t="str">
        <f>名簿!B30&amp;""</f>
        <v>10010020</v>
      </c>
      <c r="B42" s="75" t="str">
        <f>名簿!C30&amp;""</f>
        <v>清水</v>
      </c>
      <c r="C42" s="75" t="str">
        <f>名簿!D30&amp;""</f>
        <v>結衣</v>
      </c>
      <c r="D42" s="75">
        <v>81</v>
      </c>
      <c r="E42" s="75">
        <v>80</v>
      </c>
      <c r="F42" s="75">
        <v>80</v>
      </c>
      <c r="G42" s="75">
        <v>101</v>
      </c>
      <c r="H42" s="75">
        <v>91</v>
      </c>
      <c r="I42" s="75">
        <v>39</v>
      </c>
      <c r="J42" s="75">
        <v>39</v>
      </c>
      <c r="L42" s="75">
        <f t="shared" si="4"/>
        <v>511</v>
      </c>
      <c r="M42" s="75">
        <f>SUMPRODUCT((D42:J42&lt;&gt;"-")*D11:J11)</f>
        <v>660</v>
      </c>
      <c r="N42" s="75">
        <f>SUMPRODUCT(D42:J42,D18:J18)</f>
        <v>511</v>
      </c>
      <c r="O42" s="75">
        <f>SUMPRODUCT((D42:J42&lt;&gt;"-")*D11:J11*D18:J18)</f>
        <v>660</v>
      </c>
      <c r="Q42" s="75">
        <f t="shared" si="5"/>
        <v>77.400000000000006</v>
      </c>
      <c r="R42" s="75">
        <f t="shared" si="6"/>
        <v>77.400000000000006</v>
      </c>
      <c r="U42" s="75" t="str">
        <f>IF(R42&gt;U9,"A",IF(R42&gt;U10,"B","C"))</f>
        <v>B</v>
      </c>
      <c r="V42" s="75" t="str">
        <f>IF(R42&gt;V9,"A",IF(R42&gt;V10,"B","C"))</f>
        <v>B</v>
      </c>
      <c r="W42" s="75" t="str">
        <f>IF(R42&gt;W9,"A",IF(R42&gt;W10,"B","C"))</f>
        <v>B</v>
      </c>
    </row>
    <row r="43" spans="1:23" x14ac:dyDescent="0.45">
      <c r="A43" s="75" t="str">
        <f>名簿!B31&amp;""</f>
        <v>10010021</v>
      </c>
      <c r="B43" s="75" t="str">
        <f>名簿!C31&amp;""</f>
        <v>山崎</v>
      </c>
      <c r="C43" s="75" t="str">
        <f>名簿!D31&amp;""</f>
        <v>一郎</v>
      </c>
      <c r="D43" s="75">
        <v>80</v>
      </c>
      <c r="E43" s="75">
        <v>80</v>
      </c>
      <c r="F43" s="75">
        <v>80</v>
      </c>
      <c r="G43" s="75">
        <v>95</v>
      </c>
      <c r="H43" s="75">
        <v>87</v>
      </c>
      <c r="I43" s="75">
        <v>40</v>
      </c>
      <c r="J43" s="75">
        <v>40</v>
      </c>
      <c r="L43" s="75">
        <f t="shared" si="4"/>
        <v>502</v>
      </c>
      <c r="M43" s="75">
        <f>SUMPRODUCT((D43:J43&lt;&gt;"-")*D11:J11)</f>
        <v>660</v>
      </c>
      <c r="N43" s="75">
        <f>SUMPRODUCT(D43:J43,D18:J18)</f>
        <v>502</v>
      </c>
      <c r="O43" s="75">
        <f>SUMPRODUCT((D43:J43&lt;&gt;"-")*D11:J11*D18:J18)</f>
        <v>660</v>
      </c>
      <c r="Q43" s="75">
        <f t="shared" si="5"/>
        <v>76.099999999999994</v>
      </c>
      <c r="R43" s="75">
        <f t="shared" si="6"/>
        <v>76.099999999999994</v>
      </c>
      <c r="U43" s="75" t="str">
        <f>IF(R43&gt;U9,"A",IF(R43&gt;U10,"B","C"))</f>
        <v>B</v>
      </c>
      <c r="V43" s="75" t="str">
        <f>IF(R43&gt;V9,"A",IF(R43&gt;V10,"B","C"))</f>
        <v>B</v>
      </c>
      <c r="W43" s="75" t="str">
        <f>IF(R43&gt;W9,"A",IF(R43&gt;W10,"B","C"))</f>
        <v>B</v>
      </c>
    </row>
    <row r="44" spans="1:23" x14ac:dyDescent="0.45">
      <c r="A44" s="75" t="str">
        <f>名簿!B32&amp;""</f>
        <v>10010022</v>
      </c>
      <c r="B44" s="75" t="str">
        <f>名簿!C32&amp;""</f>
        <v>森</v>
      </c>
      <c r="C44" s="75" t="str">
        <f>名簿!D32&amp;""</f>
        <v>凛</v>
      </c>
      <c r="D44" s="75">
        <v>79</v>
      </c>
      <c r="E44" s="75">
        <v>80</v>
      </c>
      <c r="F44" s="75">
        <v>80</v>
      </c>
      <c r="G44" s="75">
        <v>127</v>
      </c>
      <c r="H44" s="75">
        <v>96</v>
      </c>
      <c r="I44" s="75">
        <v>41</v>
      </c>
      <c r="J44" s="75">
        <v>41</v>
      </c>
      <c r="L44" s="75">
        <f t="shared" si="4"/>
        <v>544</v>
      </c>
      <c r="M44" s="75">
        <f>SUMPRODUCT((D44:J44&lt;&gt;"-")*D11:J11)</f>
        <v>660</v>
      </c>
      <c r="N44" s="75">
        <f>SUMPRODUCT(D44:J44,D18:J18)</f>
        <v>544</v>
      </c>
      <c r="O44" s="75">
        <f>SUMPRODUCT((D44:J44&lt;&gt;"-")*D11:J11*D18:J18)</f>
        <v>660</v>
      </c>
      <c r="Q44" s="75">
        <f t="shared" si="5"/>
        <v>82.4</v>
      </c>
      <c r="R44" s="75">
        <f t="shared" si="6"/>
        <v>82.4</v>
      </c>
      <c r="U44" s="75" t="str">
        <f>IF(R44&gt;U9,"A",IF(R44&gt;U10,"B","C"))</f>
        <v>B</v>
      </c>
      <c r="V44" s="75" t="str">
        <f>IF(R44&gt;V9,"A",IF(R44&gt;V10,"B","C"))</f>
        <v>B</v>
      </c>
      <c r="W44" s="75" t="str">
        <f>IF(R44&gt;W9,"A",IF(R44&gt;W10,"B","C"))</f>
        <v>B</v>
      </c>
    </row>
    <row r="45" spans="1:23" x14ac:dyDescent="0.45">
      <c r="A45" s="75" t="str">
        <f>名簿!B33&amp;""</f>
        <v>10010023</v>
      </c>
      <c r="B45" s="75" t="str">
        <f>名簿!C33&amp;""</f>
        <v>池田</v>
      </c>
      <c r="C45" s="75" t="str">
        <f>名簿!D33&amp;""</f>
        <v>直樹</v>
      </c>
      <c r="D45" s="75">
        <v>78</v>
      </c>
      <c r="E45" s="75">
        <v>80</v>
      </c>
      <c r="F45" s="75">
        <v>80</v>
      </c>
      <c r="G45" s="75">
        <v>100</v>
      </c>
      <c r="H45" s="75">
        <v>104</v>
      </c>
      <c r="I45" s="75">
        <v>42</v>
      </c>
      <c r="J45" s="75">
        <v>42</v>
      </c>
      <c r="L45" s="75">
        <f t="shared" si="4"/>
        <v>526</v>
      </c>
      <c r="M45" s="75">
        <f>SUMPRODUCT((D45:J45&lt;&gt;"-")*D11:J11)</f>
        <v>660</v>
      </c>
      <c r="N45" s="75">
        <f>SUMPRODUCT(D45:J45,D18:J18)</f>
        <v>526</v>
      </c>
      <c r="O45" s="75">
        <f>SUMPRODUCT((D45:J45&lt;&gt;"-")*D11:J11*D18:J18)</f>
        <v>660</v>
      </c>
      <c r="Q45" s="75">
        <f t="shared" si="5"/>
        <v>79.7</v>
      </c>
      <c r="R45" s="75">
        <f t="shared" si="6"/>
        <v>79.7</v>
      </c>
      <c r="U45" s="75" t="str">
        <f>IF(R45&gt;U9,"A",IF(R45&gt;U10,"B","C"))</f>
        <v>B</v>
      </c>
      <c r="V45" s="75" t="str">
        <f>IF(R45&gt;V9,"A",IF(R45&gt;V10,"B","C"))</f>
        <v>B</v>
      </c>
      <c r="W45" s="75" t="str">
        <f>IF(R45&gt;W9,"A",IF(R45&gt;W10,"B","C"))</f>
        <v>B</v>
      </c>
    </row>
    <row r="46" spans="1:23" x14ac:dyDescent="0.45">
      <c r="A46" s="75" t="str">
        <f>名簿!B34&amp;""</f>
        <v>10010024</v>
      </c>
      <c r="B46" s="75" t="str">
        <f>名簿!C34&amp;""</f>
        <v>橋本</v>
      </c>
      <c r="C46" s="75" t="str">
        <f>名簿!D34&amp;""</f>
        <v>愛</v>
      </c>
      <c r="D46" s="75">
        <v>77</v>
      </c>
      <c r="E46" s="75">
        <v>80</v>
      </c>
      <c r="F46" s="75">
        <v>80</v>
      </c>
      <c r="G46" s="75">
        <v>108</v>
      </c>
      <c r="H46" s="75">
        <v>124</v>
      </c>
      <c r="I46" s="75">
        <v>43</v>
      </c>
      <c r="J46" s="75">
        <v>43</v>
      </c>
      <c r="L46" s="75">
        <f t="shared" si="4"/>
        <v>555</v>
      </c>
      <c r="M46" s="75">
        <f>SUMPRODUCT((D46:J46&lt;&gt;"-")*D11:J11)</f>
        <v>660</v>
      </c>
      <c r="N46" s="75">
        <f>SUMPRODUCT(D46:J46,D18:J18)</f>
        <v>555</v>
      </c>
      <c r="O46" s="75">
        <f>SUMPRODUCT((D46:J46&lt;&gt;"-")*D11:J11*D18:J18)</f>
        <v>660</v>
      </c>
      <c r="Q46" s="75">
        <f t="shared" si="5"/>
        <v>84.1</v>
      </c>
      <c r="R46" s="75">
        <f t="shared" si="6"/>
        <v>84.1</v>
      </c>
      <c r="U46" s="75" t="str">
        <f>IF(R46&gt;U9,"A",IF(R46&gt;U10,"B","C"))</f>
        <v>B</v>
      </c>
      <c r="V46" s="75" t="str">
        <f>IF(R46&gt;V9,"A",IF(R46&gt;V10,"B","C"))</f>
        <v>B</v>
      </c>
      <c r="W46" s="75" t="str">
        <f>IF(R46&gt;W9,"A",IF(R46&gt;W10,"B","C"))</f>
        <v>B</v>
      </c>
    </row>
    <row r="47" spans="1:23" x14ac:dyDescent="0.45">
      <c r="A47" s="75" t="str">
        <f>名簿!B35&amp;""</f>
        <v>10010025</v>
      </c>
      <c r="B47" s="75" t="str">
        <f>名簿!C35&amp;""</f>
        <v>阿部</v>
      </c>
      <c r="C47" s="75" t="str">
        <f>名簿!D35&amp;""</f>
        <v>健太</v>
      </c>
      <c r="D47" s="75">
        <v>76</v>
      </c>
      <c r="E47" s="75">
        <v>80</v>
      </c>
      <c r="F47" s="75">
        <v>80</v>
      </c>
      <c r="G47" s="75">
        <v>115</v>
      </c>
      <c r="H47" s="75">
        <v>102</v>
      </c>
      <c r="I47" s="75">
        <v>44</v>
      </c>
      <c r="J47" s="75">
        <v>44</v>
      </c>
      <c r="L47" s="75">
        <f t="shared" si="4"/>
        <v>541</v>
      </c>
      <c r="M47" s="75">
        <f>SUMPRODUCT((D47:J47&lt;&gt;"-")*D11:J11)</f>
        <v>660</v>
      </c>
      <c r="N47" s="75">
        <f>SUMPRODUCT(D47:J47,D18:J18)</f>
        <v>541</v>
      </c>
      <c r="O47" s="75">
        <f>SUMPRODUCT((D47:J47&lt;&gt;"-")*D11:J11*D18:J18)</f>
        <v>660</v>
      </c>
      <c r="Q47" s="75">
        <f t="shared" si="5"/>
        <v>82</v>
      </c>
      <c r="R47" s="75">
        <f t="shared" si="6"/>
        <v>82</v>
      </c>
      <c r="U47" s="75" t="str">
        <f>IF(R47&gt;U9,"A",IF(R47&gt;U10,"B","C"))</f>
        <v>B</v>
      </c>
      <c r="V47" s="75" t="str">
        <f>IF(R47&gt;V9,"A",IF(R47&gt;V10,"B","C"))</f>
        <v>B</v>
      </c>
      <c r="W47" s="75" t="str">
        <f>IF(R47&gt;W9,"A",IF(R47&gt;W10,"B","C"))</f>
        <v>B</v>
      </c>
    </row>
    <row r="48" spans="1:23" x14ac:dyDescent="0.45">
      <c r="A48" s="75" t="str">
        <f>名簿!B36&amp;""</f>
        <v>10010026</v>
      </c>
      <c r="B48" s="75" t="str">
        <f>名簿!C36&amp;""</f>
        <v>石川</v>
      </c>
      <c r="C48" s="75" t="str">
        <f>名簿!D36&amp;""</f>
        <v>陽菜</v>
      </c>
      <c r="D48" s="75">
        <v>75</v>
      </c>
      <c r="E48" s="75">
        <v>80</v>
      </c>
      <c r="F48" s="75">
        <v>80</v>
      </c>
      <c r="G48" s="75">
        <v>103</v>
      </c>
      <c r="H48" s="75">
        <v>84</v>
      </c>
      <c r="I48" s="75">
        <v>45</v>
      </c>
      <c r="J48" s="75">
        <v>45</v>
      </c>
      <c r="L48" s="75">
        <f t="shared" si="4"/>
        <v>512</v>
      </c>
      <c r="M48" s="75">
        <f>SUMPRODUCT((D48:J48&lt;&gt;"-")*D11:J11)</f>
        <v>660</v>
      </c>
      <c r="N48" s="75">
        <f>SUMPRODUCT(D48:J48,D18:J18)</f>
        <v>512</v>
      </c>
      <c r="O48" s="75">
        <f>SUMPRODUCT((D48:J48&lt;&gt;"-")*D11:J11*D18:J18)</f>
        <v>660</v>
      </c>
      <c r="Q48" s="75">
        <f t="shared" si="5"/>
        <v>77.599999999999994</v>
      </c>
      <c r="R48" s="75">
        <f t="shared" si="6"/>
        <v>77.599999999999994</v>
      </c>
      <c r="U48" s="75" t="str">
        <f>IF(R48&gt;U9,"A",IF(R48&gt;U10,"B","C"))</f>
        <v>B</v>
      </c>
      <c r="V48" s="75" t="str">
        <f>IF(R48&gt;V9,"A",IF(R48&gt;V10,"B","C"))</f>
        <v>B</v>
      </c>
      <c r="W48" s="75" t="str">
        <f>IF(R48&gt;W9,"A",IF(R48&gt;W10,"B","C"))</f>
        <v>B</v>
      </c>
    </row>
    <row r="49" spans="1:23" x14ac:dyDescent="0.45">
      <c r="A49" s="75" t="str">
        <f>名簿!B37&amp;""</f>
        <v>10010027</v>
      </c>
      <c r="B49" s="75" t="str">
        <f>名簿!C37&amp;""</f>
        <v>山下</v>
      </c>
      <c r="C49" s="75" t="str">
        <f>名簿!D37&amp;""</f>
        <v>学</v>
      </c>
      <c r="D49" s="75">
        <v>74</v>
      </c>
      <c r="E49" s="75">
        <v>80</v>
      </c>
      <c r="F49" s="75">
        <v>80</v>
      </c>
      <c r="G49" s="75">
        <v>101</v>
      </c>
      <c r="H49" s="75">
        <v>120</v>
      </c>
      <c r="I49" s="75">
        <v>46</v>
      </c>
      <c r="J49" s="75">
        <v>46</v>
      </c>
      <c r="L49" s="75">
        <f t="shared" si="4"/>
        <v>547</v>
      </c>
      <c r="M49" s="75">
        <f>SUMPRODUCT((D49:J49&lt;&gt;"-")*D11:J11)</f>
        <v>660</v>
      </c>
      <c r="N49" s="75">
        <f>SUMPRODUCT(D49:J49,D18:J18)</f>
        <v>547</v>
      </c>
      <c r="O49" s="75">
        <f>SUMPRODUCT((D49:J49&lt;&gt;"-")*D11:J11*D18:J18)</f>
        <v>660</v>
      </c>
      <c r="Q49" s="75">
        <f t="shared" si="5"/>
        <v>82.9</v>
      </c>
      <c r="R49" s="75">
        <f t="shared" si="6"/>
        <v>82.9</v>
      </c>
      <c r="U49" s="75" t="str">
        <f>IF(R49&gt;U9,"A",IF(R49&gt;U10,"B","C"))</f>
        <v>B</v>
      </c>
      <c r="V49" s="75" t="str">
        <f>IF(R49&gt;V9,"A",IF(R49&gt;V10,"B","C"))</f>
        <v>B</v>
      </c>
      <c r="W49" s="75" t="str">
        <f>IF(R49&gt;W9,"A",IF(R49&gt;W10,"B","C"))</f>
        <v>B</v>
      </c>
    </row>
    <row r="50" spans="1:23" x14ac:dyDescent="0.45">
      <c r="A50" s="75" t="str">
        <f>名簿!B38&amp;""</f>
        <v>10010028</v>
      </c>
      <c r="B50" s="75" t="str">
        <f>名簿!C38&amp;""</f>
        <v>中島</v>
      </c>
      <c r="C50" s="75" t="str">
        <f>名簿!D38&amp;""</f>
        <v>凛</v>
      </c>
      <c r="D50" s="75">
        <v>73</v>
      </c>
      <c r="E50" s="75">
        <v>80</v>
      </c>
      <c r="F50" s="75">
        <v>80</v>
      </c>
      <c r="G50" s="75">
        <v>87</v>
      </c>
      <c r="H50" s="75">
        <v>112</v>
      </c>
      <c r="I50" s="75">
        <v>47</v>
      </c>
      <c r="J50" s="75">
        <v>47</v>
      </c>
      <c r="L50" s="75">
        <f t="shared" si="4"/>
        <v>526</v>
      </c>
      <c r="M50" s="75">
        <f>SUMPRODUCT((D50:J50&lt;&gt;"-")*D11:J11)</f>
        <v>660</v>
      </c>
      <c r="N50" s="75">
        <f>SUMPRODUCT(D50:J50,D18:J18)</f>
        <v>526</v>
      </c>
      <c r="O50" s="75">
        <f>SUMPRODUCT((D50:J50&lt;&gt;"-")*D11:J11*D18:J18)</f>
        <v>660</v>
      </c>
      <c r="Q50" s="75">
        <f t="shared" si="5"/>
        <v>79.7</v>
      </c>
      <c r="R50" s="75">
        <f t="shared" si="6"/>
        <v>79.7</v>
      </c>
      <c r="U50" s="75" t="str">
        <f>IF(R50&gt;U9,"A",IF(R50&gt;U10,"B","C"))</f>
        <v>B</v>
      </c>
      <c r="V50" s="75" t="str">
        <f>IF(R50&gt;V9,"A",IF(R50&gt;V10,"B","C"))</f>
        <v>B</v>
      </c>
      <c r="W50" s="75" t="str">
        <f>IF(R50&gt;W9,"A",IF(R50&gt;W10,"B","C"))</f>
        <v>B</v>
      </c>
    </row>
    <row r="51" spans="1:23" x14ac:dyDescent="0.45">
      <c r="A51" s="75" t="str">
        <f>名簿!B39&amp;""</f>
        <v>10010029</v>
      </c>
      <c r="B51" s="75" t="str">
        <f>名簿!C39&amp;""</f>
        <v>石井</v>
      </c>
      <c r="C51" s="75" t="str">
        <f>名簿!D39&amp;""</f>
        <v>健太</v>
      </c>
      <c r="D51" s="75">
        <v>72</v>
      </c>
      <c r="E51" s="75">
        <v>80</v>
      </c>
      <c r="F51" s="75">
        <v>80</v>
      </c>
      <c r="G51" s="75">
        <v>103</v>
      </c>
      <c r="H51" s="75">
        <v>108</v>
      </c>
      <c r="I51" s="75">
        <v>48</v>
      </c>
      <c r="J51" s="75">
        <v>48</v>
      </c>
      <c r="L51" s="75">
        <f t="shared" si="4"/>
        <v>539</v>
      </c>
      <c r="M51" s="75">
        <f>SUMPRODUCT((D51:J51&lt;&gt;"-")*D11:J11)</f>
        <v>660</v>
      </c>
      <c r="N51" s="75">
        <f>SUMPRODUCT(D51:J51,D18:J18)</f>
        <v>539</v>
      </c>
      <c r="O51" s="75">
        <f>SUMPRODUCT((D51:J51&lt;&gt;"-")*D11:J11*D18:J18)</f>
        <v>660</v>
      </c>
      <c r="Q51" s="75">
        <f t="shared" si="5"/>
        <v>81.7</v>
      </c>
      <c r="R51" s="75">
        <f t="shared" si="6"/>
        <v>81.7</v>
      </c>
      <c r="U51" s="75" t="str">
        <f>IF(R51&gt;U9,"A",IF(R51&gt;U10,"B","C"))</f>
        <v>B</v>
      </c>
      <c r="V51" s="75" t="str">
        <f>IF(R51&gt;V9,"A",IF(R51&gt;V10,"B","C"))</f>
        <v>B</v>
      </c>
      <c r="W51" s="75" t="str">
        <f>IF(R51&gt;W9,"A",IF(R51&gt;W10,"B","C"))</f>
        <v>B</v>
      </c>
    </row>
    <row r="52" spans="1:23" x14ac:dyDescent="0.45">
      <c r="A52" s="75" t="str">
        <f>名簿!B40&amp;""</f>
        <v>10010030</v>
      </c>
      <c r="B52" s="75" t="str">
        <f>名簿!C40&amp;""</f>
        <v>小川</v>
      </c>
      <c r="C52" s="75" t="str">
        <f>名簿!D40&amp;""</f>
        <v>楓</v>
      </c>
      <c r="D52" s="75">
        <v>71</v>
      </c>
      <c r="E52" s="75">
        <v>80</v>
      </c>
      <c r="F52" s="75">
        <v>80</v>
      </c>
      <c r="G52" s="75">
        <v>106</v>
      </c>
      <c r="H52" s="75">
        <v>128</v>
      </c>
      <c r="I52" s="75">
        <v>49</v>
      </c>
      <c r="J52" s="75">
        <v>49</v>
      </c>
      <c r="L52" s="75">
        <f t="shared" si="4"/>
        <v>563</v>
      </c>
      <c r="M52" s="75">
        <f>SUMPRODUCT((D52:J52&lt;&gt;"-")*D11:J11)</f>
        <v>660</v>
      </c>
      <c r="N52" s="75">
        <f>SUMPRODUCT(D52:J52,D18:J18)</f>
        <v>563</v>
      </c>
      <c r="O52" s="75">
        <f>SUMPRODUCT((D52:J52&lt;&gt;"-")*D11:J11*D18:J18)</f>
        <v>660</v>
      </c>
      <c r="Q52" s="75">
        <f t="shared" si="5"/>
        <v>85.3</v>
      </c>
      <c r="R52" s="75">
        <f t="shared" si="6"/>
        <v>85.3</v>
      </c>
      <c r="U52" s="75" t="str">
        <f>IF(R52&gt;U9,"A",IF(R52&gt;U10,"B","C"))</f>
        <v>B</v>
      </c>
      <c r="V52" s="75" t="str">
        <f>IF(R52&gt;V9,"A",IF(R52&gt;V10,"B","C"))</f>
        <v>B</v>
      </c>
      <c r="W52" s="75" t="str">
        <f>IF(R52&gt;W9,"A",IF(R52&gt;W10,"B","C"))</f>
        <v>B</v>
      </c>
    </row>
    <row r="53" spans="1:23" x14ac:dyDescent="0.45">
      <c r="A53" s="75" t="str">
        <f>名簿!B41&amp;""</f>
        <v/>
      </c>
      <c r="B53" s="75" t="str">
        <f>名簿!C41&amp;""</f>
        <v/>
      </c>
      <c r="C53" s="75" t="str">
        <f>名簿!D41&amp;""</f>
        <v/>
      </c>
    </row>
    <row r="54" spans="1:23" x14ac:dyDescent="0.45">
      <c r="A54" s="75" t="str">
        <f>名簿!B42&amp;""</f>
        <v/>
      </c>
      <c r="B54" s="75" t="str">
        <f>名簿!C42&amp;""</f>
        <v/>
      </c>
      <c r="C54" s="75" t="str">
        <f>名簿!D42&amp;""</f>
        <v/>
      </c>
    </row>
    <row r="55" spans="1:23" x14ac:dyDescent="0.45">
      <c r="A55" s="75" t="str">
        <f>名簿!B43&amp;""</f>
        <v/>
      </c>
      <c r="B55" s="75" t="str">
        <f>名簿!C43&amp;""</f>
        <v/>
      </c>
      <c r="C55" s="75" t="str">
        <f>名簿!D43&amp;""</f>
        <v/>
      </c>
    </row>
    <row r="56" spans="1:23" x14ac:dyDescent="0.45">
      <c r="A56" s="75" t="str">
        <f>名簿!B44&amp;""</f>
        <v/>
      </c>
      <c r="B56" s="75" t="str">
        <f>名簿!C44&amp;""</f>
        <v/>
      </c>
      <c r="C56" s="75" t="str">
        <f>名簿!D44&amp;""</f>
        <v/>
      </c>
    </row>
    <row r="57" spans="1:23" x14ac:dyDescent="0.45">
      <c r="A57" s="75" t="str">
        <f>名簿!B45&amp;""</f>
        <v/>
      </c>
      <c r="B57" s="75" t="str">
        <f>名簿!C45&amp;""</f>
        <v/>
      </c>
      <c r="C57" s="75" t="str">
        <f>名簿!D45&amp;""</f>
        <v/>
      </c>
    </row>
    <row r="58" spans="1:23" x14ac:dyDescent="0.45">
      <c r="A58" s="75" t="str">
        <f>名簿!B46&amp;""</f>
        <v/>
      </c>
      <c r="B58" s="75" t="str">
        <f>名簿!C46&amp;""</f>
        <v/>
      </c>
      <c r="C58" s="75" t="str">
        <f>名簿!D46&amp;""</f>
        <v/>
      </c>
    </row>
    <row r="59" spans="1:23" x14ac:dyDescent="0.45">
      <c r="A59" s="75" t="str">
        <f>名簿!B47&amp;""</f>
        <v/>
      </c>
      <c r="B59" s="75" t="str">
        <f>名簿!C47&amp;""</f>
        <v/>
      </c>
      <c r="C59" s="75" t="str">
        <f>名簿!D47&amp;""</f>
        <v/>
      </c>
    </row>
    <row r="60" spans="1:23" x14ac:dyDescent="0.45">
      <c r="A60" s="75" t="str">
        <f>名簿!B48&amp;""</f>
        <v/>
      </c>
      <c r="B60" s="75" t="str">
        <f>名簿!C48&amp;""</f>
        <v/>
      </c>
      <c r="C60" s="75" t="str">
        <f>名簿!D48&amp;""</f>
        <v/>
      </c>
    </row>
    <row r="61" spans="1:23" x14ac:dyDescent="0.45">
      <c r="A61" s="75" t="str">
        <f>名簿!B49&amp;""</f>
        <v/>
      </c>
      <c r="B61" s="75" t="str">
        <f>名簿!C49&amp;""</f>
        <v/>
      </c>
      <c r="C61" s="75" t="str">
        <f>名簿!D49&amp;""</f>
        <v/>
      </c>
    </row>
    <row r="62" spans="1:23" x14ac:dyDescent="0.45">
      <c r="A62" s="75" t="str">
        <f>名簿!B50&amp;""</f>
        <v/>
      </c>
      <c r="B62" s="75" t="str">
        <f>名簿!C50&amp;""</f>
        <v/>
      </c>
      <c r="C62" s="75" t="str">
        <f>名簿!D50&amp;""</f>
        <v/>
      </c>
    </row>
  </sheetData>
  <sheetProtection algorithmName="SHA-512" hashValue="NWN+VqkQfngoMpX3cS/hZ/UtwRbxTDDh9JmXiJijPFtxcW1SY3a9qTljCxsxW9wYNnlOLnmADNRGQREy6yDDgA==" saltValue="xO+a/82SuMOHvJSQz41XaQ==" spinCount="100000" sheet="1" objects="1"/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4" name="Button 12">
              <controlPr defaultSize="0" print="0" autoFill="0" autoPict="0" macro="[0]!sh_subject.Btm_adjustscore_hide_reveal">
                <anchor moveWithCells="1" sizeWithCells="1">
                  <from>
                    <xdr:col>0</xdr:col>
                    <xdr:colOff>7620</xdr:colOff>
                    <xdr:row>4</xdr:row>
                    <xdr:rowOff>7620</xdr:rowOff>
                  </from>
                  <to>
                    <xdr:col>1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_subject.Btn_IS_adj_score">
                <anchor moveWithCells="1" sizeWithCells="1">
                  <from>
                    <xdr:col>0</xdr:col>
                    <xdr:colOff>22860</xdr:colOff>
                    <xdr:row>3</xdr:row>
                    <xdr:rowOff>7620</xdr:rowOff>
                  </from>
                  <to>
                    <xdr:col>1</xdr:col>
                    <xdr:colOff>7620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sh_subject.Btn_NormalizeWeight_Click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1</xdr:col>
                    <xdr:colOff>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7" name="Button 16">
              <controlPr defaultSize="0" print="0" autoFill="0" autoPict="0" macro="[0]!sh_subject.Btn_stats_hide_reveal">
                <anchor moveWithCells="1" sizeWithCells="1">
                  <from>
                    <xdr:col>0</xdr:col>
                    <xdr:colOff>7620</xdr:colOff>
                    <xdr:row>5</xdr:row>
                    <xdr:rowOff>22860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8" name="perspective1">
              <controlPr defaultSize="0" autoFill="0" autoLine="0" autoPict="0">
                <anchor moveWithCells="1">
                  <from>
                    <xdr:col>1</xdr:col>
                    <xdr:colOff>45720</xdr:colOff>
                    <xdr:row>2</xdr:row>
                    <xdr:rowOff>7620</xdr:rowOff>
                  </from>
                  <to>
                    <xdr:col>2</xdr:col>
                    <xdr:colOff>617220</xdr:colOff>
                    <xdr:row>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perspective2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0</xdr:rowOff>
                  </from>
                  <to>
                    <xdr:col>6</xdr:col>
                    <xdr:colOff>259080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perspective3">
              <controlPr defaultSize="0" autoFill="0" autoLine="0" autoPict="0">
                <anchor moveWithCells="1">
                  <from>
                    <xdr:col>6</xdr:col>
                    <xdr:colOff>335280</xdr:colOff>
                    <xdr:row>2</xdr:row>
                    <xdr:rowOff>0</xdr:rowOff>
                  </from>
                  <to>
                    <xdr:col>10</xdr:col>
                    <xdr:colOff>213360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1" name="perspective4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22860</xdr:rowOff>
                  </from>
                  <to>
                    <xdr:col>12</xdr:col>
                    <xdr:colOff>251460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perspective5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22860</xdr:rowOff>
                  </from>
                  <to>
                    <xdr:col>12</xdr:col>
                    <xdr:colOff>251460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3" name="Update">
              <controlPr defaultSize="0" print="0" autoFill="0" autoPict="0" macro="[0]!sh_subject.Update_Click">
                <anchor moveWithCells="1" sizeWithCells="1">
                  <from>
                    <xdr:col>2</xdr:col>
                    <xdr:colOff>7620</xdr:colOff>
                    <xdr:row>0</xdr:row>
                    <xdr:rowOff>30480</xdr:rowOff>
                  </from>
                  <to>
                    <xdr:col>3</xdr:col>
                    <xdr:colOff>342900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4" name="Ope_result">
              <controlPr defaultSize="0" print="0" autoFill="0" autoPict="0" macro="[0]!sh_subject.Ope_result_Click">
                <anchor moveWithCells="1" sizeWithCells="1">
                  <from>
                    <xdr:col>6</xdr:col>
                    <xdr:colOff>304800</xdr:colOff>
                    <xdr:row>0</xdr:row>
                    <xdr:rowOff>30480</xdr:rowOff>
                  </from>
                  <to>
                    <xdr:col>9</xdr:col>
                    <xdr:colOff>228600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5" name="Delete_Sh_Subject">
              <controlPr defaultSize="0" print="0" autoFill="0" autoPict="0" macro="[0]!sh_subject.Delete_Sh_Subject_Click">
                <anchor moveWithCells="1" sizeWithCells="1">
                  <from>
                    <xdr:col>4</xdr:col>
                    <xdr:colOff>7620</xdr:colOff>
                    <xdr:row>0</xdr:row>
                    <xdr:rowOff>30480</xdr:rowOff>
                  </from>
                  <to>
                    <xdr:col>6</xdr:col>
                    <xdr:colOff>304800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  <pageSetUpPr fitToPage="1"/>
  </sheetPr>
  <dimension ref="A1:AL50"/>
  <sheetViews>
    <sheetView topLeftCell="A8" zoomScaleNormal="100" workbookViewId="0">
      <pane xSplit="3" ySplit="3" topLeftCell="D11" activePane="bottomRight" state="frozen"/>
      <selection activeCell="A8" sqref="A8"/>
      <selection pane="topRight" activeCell="D8" sqref="D8"/>
      <selection pane="bottomLeft" activeCell="A11" sqref="A11"/>
      <selection pane="bottomRight" activeCell="H9" sqref="H9"/>
    </sheetView>
  </sheetViews>
  <sheetFormatPr defaultColWidth="5" defaultRowHeight="18" x14ac:dyDescent="0.45"/>
  <cols>
    <col min="1" max="1" width="10.69921875" style="186" customWidth="1"/>
    <col min="2" max="3" width="6.69921875" style="186" customWidth="1"/>
    <col min="4" max="4" width="6.19921875" style="186" customWidth="1"/>
    <col min="5" max="5" width="5.19921875" style="186" customWidth="1"/>
    <col min="6" max="6" width="6.19921875" style="186" customWidth="1"/>
    <col min="7" max="7" width="5.19921875" style="186" customWidth="1"/>
    <col min="8" max="8" width="6.19921875" style="186" customWidth="1"/>
    <col min="9" max="9" width="5.19921875" style="186" customWidth="1"/>
    <col min="10" max="10" width="6.19921875" style="186" customWidth="1"/>
    <col min="11" max="11" width="5.19921875" style="186" customWidth="1"/>
    <col min="12" max="12" width="6.19921875" style="186" customWidth="1"/>
    <col min="13" max="13" width="5.19921875" style="186" customWidth="1"/>
    <col min="14" max="14" width="6.19921875" style="186" customWidth="1"/>
    <col min="15" max="15" width="5.19921875" style="186" customWidth="1"/>
    <col min="16" max="16" width="6.19921875" style="186" customWidth="1"/>
    <col min="17" max="17" width="5.19921875" style="186" customWidth="1"/>
    <col min="18" max="18" width="6.19921875" style="186" customWidth="1"/>
    <col min="19" max="19" width="5.19921875" style="186" customWidth="1"/>
    <col min="20" max="20" width="6.19921875" style="186" customWidth="1"/>
    <col min="21" max="21" width="5.19921875" style="186" customWidth="1"/>
    <col min="22" max="22" width="6.19921875" style="186" customWidth="1"/>
    <col min="23" max="23" width="5.19921875" style="186" customWidth="1"/>
    <col min="24" max="24" width="6.19921875" style="186" customWidth="1"/>
    <col min="25" max="25" width="5.19921875" style="186" customWidth="1"/>
    <col min="26" max="26" width="6.19921875" style="186" customWidth="1"/>
    <col min="27" max="27" width="5.19921875" style="186" customWidth="1"/>
    <col min="28" max="28" width="6.19921875" style="186" customWidth="1"/>
    <col min="29" max="29" width="5.19921875" style="186" customWidth="1"/>
    <col min="30" max="30" width="6.19921875" style="186" customWidth="1"/>
    <col min="31" max="31" width="5.19921875" style="186" customWidth="1"/>
    <col min="32" max="32" width="6.19921875" style="186" customWidth="1"/>
    <col min="33" max="33" width="5.19921875" style="186" customWidth="1"/>
    <col min="34" max="34" width="6.19921875" style="186" customWidth="1"/>
    <col min="35" max="35" width="5.19921875" style="186" customWidth="1"/>
    <col min="36" max="36" width="6.19921875" style="186" customWidth="1"/>
    <col min="37" max="37" width="5.19921875" style="186" customWidth="1"/>
    <col min="38" max="38" width="6.19921875" style="186" customWidth="1"/>
    <col min="39" max="16384" width="5" style="186"/>
  </cols>
  <sheetData>
    <row r="1" spans="1:38" hidden="1" x14ac:dyDescent="0.45"/>
    <row r="2" spans="1:38" hidden="1" x14ac:dyDescent="0.45"/>
    <row r="3" spans="1:38" hidden="1" x14ac:dyDescent="0.45"/>
    <row r="4" spans="1:38" hidden="1" x14ac:dyDescent="0.45"/>
    <row r="5" spans="1:38" hidden="1" x14ac:dyDescent="0.45"/>
    <row r="6" spans="1:38" hidden="1" x14ac:dyDescent="0.45"/>
    <row r="7" spans="1:38" hidden="1" x14ac:dyDescent="0.45"/>
    <row r="8" spans="1:38" ht="22.05" customHeight="1" x14ac:dyDescent="0.45">
      <c r="A8" s="212"/>
      <c r="B8" s="214"/>
      <c r="C8" s="216"/>
      <c r="D8" s="163" t="s">
        <v>145</v>
      </c>
      <c r="E8" s="194"/>
      <c r="F8" s="163" t="s">
        <v>145</v>
      </c>
      <c r="G8" s="194"/>
      <c r="H8" s="163" t="s">
        <v>145</v>
      </c>
      <c r="I8" s="194"/>
      <c r="J8" s="163" t="s">
        <v>151</v>
      </c>
      <c r="K8" s="194"/>
      <c r="L8" s="163" t="s">
        <v>151</v>
      </c>
      <c r="M8" s="194"/>
      <c r="N8" s="163" t="s">
        <v>151</v>
      </c>
      <c r="O8" s="194"/>
      <c r="P8" s="163" t="s">
        <v>219</v>
      </c>
      <c r="Q8" s="194"/>
      <c r="R8" s="163" t="s">
        <v>219</v>
      </c>
      <c r="S8" s="194"/>
      <c r="T8" s="165" t="s">
        <v>219</v>
      </c>
    </row>
    <row r="9" spans="1:38" s="185" customFormat="1" ht="18" customHeight="1" x14ac:dyDescent="0.45">
      <c r="A9" s="213"/>
      <c r="B9" s="215"/>
      <c r="C9" s="217"/>
      <c r="D9" s="195" t="s">
        <v>213</v>
      </c>
      <c r="E9" s="203"/>
      <c r="F9" s="195" t="s">
        <v>214</v>
      </c>
      <c r="G9" s="203"/>
      <c r="H9" s="195" t="s">
        <v>215</v>
      </c>
      <c r="I9" s="203"/>
      <c r="J9" s="196" t="s">
        <v>213</v>
      </c>
      <c r="K9" s="203"/>
      <c r="L9" s="196" t="s">
        <v>214</v>
      </c>
      <c r="M9" s="203"/>
      <c r="N9" s="196" t="s">
        <v>215</v>
      </c>
      <c r="O9" s="203"/>
      <c r="P9" s="197" t="s">
        <v>213</v>
      </c>
      <c r="Q9" s="203"/>
      <c r="R9" s="197" t="s">
        <v>214</v>
      </c>
      <c r="S9" s="203"/>
      <c r="T9" s="199" t="s">
        <v>215</v>
      </c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</row>
    <row r="10" spans="1:38" s="185" customFormat="1" ht="16.05" customHeight="1" thickBot="1" x14ac:dyDescent="0.5">
      <c r="A10" s="164" t="s">
        <v>73</v>
      </c>
      <c r="B10" s="187" t="s">
        <v>216</v>
      </c>
      <c r="C10" s="166" t="s">
        <v>217</v>
      </c>
      <c r="D10" s="198" t="s">
        <v>149</v>
      </c>
      <c r="E10" s="204" t="s">
        <v>150</v>
      </c>
      <c r="F10" s="198" t="s">
        <v>149</v>
      </c>
      <c r="G10" s="204" t="s">
        <v>150</v>
      </c>
      <c r="H10" s="198" t="s">
        <v>149</v>
      </c>
      <c r="I10" s="204" t="s">
        <v>150</v>
      </c>
      <c r="J10" s="198" t="s">
        <v>149</v>
      </c>
      <c r="K10" s="204" t="s">
        <v>150</v>
      </c>
      <c r="L10" s="198" t="s">
        <v>149</v>
      </c>
      <c r="M10" s="204" t="s">
        <v>150</v>
      </c>
      <c r="N10" s="198" t="s">
        <v>149</v>
      </c>
      <c r="O10" s="204" t="s">
        <v>150</v>
      </c>
      <c r="P10" s="198" t="s">
        <v>149</v>
      </c>
      <c r="Q10" s="204" t="s">
        <v>150</v>
      </c>
      <c r="R10" s="198" t="s">
        <v>149</v>
      </c>
      <c r="S10" s="204" t="s">
        <v>150</v>
      </c>
      <c r="T10" s="200" t="s">
        <v>149</v>
      </c>
      <c r="U10" s="186" t="s">
        <v>150</v>
      </c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</row>
    <row r="11" spans="1:38" ht="18" customHeight="1" x14ac:dyDescent="0.45">
      <c r="A11" s="167" t="str">
        <f>名簿!B11&amp;""</f>
        <v>10010001</v>
      </c>
      <c r="B11" s="168" t="str">
        <f>名簿!C11&amp;""</f>
        <v>田中</v>
      </c>
      <c r="C11" s="169" t="str">
        <f>名簿!D11&amp;""</f>
        <v>雄介</v>
      </c>
      <c r="D11" s="178"/>
      <c r="E11" s="179"/>
      <c r="F11" s="178"/>
      <c r="G11" s="179"/>
      <c r="H11" s="178"/>
      <c r="I11" s="179"/>
      <c r="J11" s="178"/>
      <c r="K11" s="179"/>
      <c r="L11" s="178"/>
      <c r="M11" s="179"/>
      <c r="N11" s="178"/>
      <c r="O11" s="179"/>
      <c r="P11" s="178"/>
      <c r="Q11" s="179"/>
      <c r="R11" s="178"/>
      <c r="S11" s="179"/>
      <c r="T11" s="180"/>
    </row>
    <row r="12" spans="1:38" ht="18" customHeight="1" x14ac:dyDescent="0.45">
      <c r="A12" s="170" t="str">
        <f>名簿!B12&amp;""</f>
        <v>10010002</v>
      </c>
      <c r="B12" s="171" t="str">
        <f>名簿!C12&amp;""</f>
        <v>佐藤</v>
      </c>
      <c r="C12" s="172" t="str">
        <f>名簿!D12&amp;""</f>
        <v>凛</v>
      </c>
      <c r="D12" s="188"/>
      <c r="E12" s="182"/>
      <c r="F12" s="188"/>
      <c r="G12" s="182"/>
      <c r="H12" s="188"/>
      <c r="I12" s="182"/>
      <c r="J12" s="189"/>
      <c r="K12" s="182"/>
      <c r="L12" s="189"/>
      <c r="M12" s="182"/>
      <c r="N12" s="189"/>
      <c r="O12" s="182"/>
      <c r="P12" s="190"/>
      <c r="Q12" s="182"/>
      <c r="R12" s="190"/>
      <c r="S12" s="182"/>
      <c r="T12" s="201"/>
    </row>
    <row r="13" spans="1:38" ht="18" customHeight="1" x14ac:dyDescent="0.45">
      <c r="A13" s="170" t="str">
        <f>名簿!B13&amp;""</f>
        <v>10010003</v>
      </c>
      <c r="B13" s="171" t="str">
        <f>名簿!C13&amp;""</f>
        <v>鈴木</v>
      </c>
      <c r="C13" s="172" t="str">
        <f>名簿!D13&amp;""</f>
        <v>誠</v>
      </c>
      <c r="D13" s="181"/>
      <c r="E13" s="182"/>
      <c r="F13" s="181"/>
      <c r="G13" s="182"/>
      <c r="H13" s="181"/>
      <c r="I13" s="182"/>
      <c r="J13" s="181"/>
      <c r="K13" s="182"/>
      <c r="L13" s="181"/>
      <c r="M13" s="182"/>
      <c r="N13" s="181"/>
      <c r="O13" s="182"/>
      <c r="P13" s="181"/>
      <c r="Q13" s="182"/>
      <c r="R13" s="181"/>
      <c r="S13" s="182"/>
      <c r="T13" s="183"/>
    </row>
    <row r="14" spans="1:38" ht="18" customHeight="1" x14ac:dyDescent="0.45">
      <c r="A14" s="170" t="str">
        <f>名簿!B14&amp;""</f>
        <v>10010004</v>
      </c>
      <c r="B14" s="171" t="str">
        <f>名簿!C14&amp;""</f>
        <v>高橋</v>
      </c>
      <c r="C14" s="172" t="str">
        <f>名簿!D14&amp;""</f>
        <v>美優</v>
      </c>
      <c r="D14" s="188"/>
      <c r="E14" s="182"/>
      <c r="F14" s="188"/>
      <c r="G14" s="182"/>
      <c r="H14" s="188"/>
      <c r="I14" s="182"/>
      <c r="J14" s="189"/>
      <c r="K14" s="182"/>
      <c r="L14" s="189"/>
      <c r="M14" s="182"/>
      <c r="N14" s="189"/>
      <c r="O14" s="182"/>
      <c r="P14" s="190"/>
      <c r="Q14" s="182"/>
      <c r="R14" s="190"/>
      <c r="S14" s="182"/>
      <c r="T14" s="201"/>
    </row>
    <row r="15" spans="1:38" ht="18" customHeight="1" x14ac:dyDescent="0.45">
      <c r="A15" s="170" t="str">
        <f>名簿!B15&amp;""</f>
        <v>10010005</v>
      </c>
      <c r="B15" s="171" t="str">
        <f>名簿!C15&amp;""</f>
        <v>渡辺</v>
      </c>
      <c r="C15" s="172" t="str">
        <f>名簿!D15&amp;""</f>
        <v>誠</v>
      </c>
      <c r="D15" s="181"/>
      <c r="E15" s="182"/>
      <c r="F15" s="181"/>
      <c r="G15" s="182"/>
      <c r="H15" s="181"/>
      <c r="I15" s="182"/>
      <c r="J15" s="181"/>
      <c r="K15" s="182"/>
      <c r="L15" s="181"/>
      <c r="M15" s="182"/>
      <c r="N15" s="181"/>
      <c r="O15" s="182"/>
      <c r="P15" s="181"/>
      <c r="Q15" s="182"/>
      <c r="R15" s="181"/>
      <c r="S15" s="182"/>
      <c r="T15" s="183"/>
    </row>
    <row r="16" spans="1:38" ht="18" customHeight="1" x14ac:dyDescent="0.45">
      <c r="A16" s="170" t="str">
        <f>名簿!B16&amp;""</f>
        <v>10010006</v>
      </c>
      <c r="B16" s="171" t="str">
        <f>名簿!C16&amp;""</f>
        <v>伊藤</v>
      </c>
      <c r="C16" s="172" t="str">
        <f>名簿!D16&amp;""</f>
        <v>凛</v>
      </c>
      <c r="D16" s="188"/>
      <c r="E16" s="182"/>
      <c r="F16" s="188"/>
      <c r="G16" s="182"/>
      <c r="H16" s="188"/>
      <c r="I16" s="182"/>
      <c r="J16" s="189"/>
      <c r="K16" s="182"/>
      <c r="L16" s="189"/>
      <c r="M16" s="182"/>
      <c r="N16" s="189"/>
      <c r="O16" s="182"/>
      <c r="P16" s="190"/>
      <c r="Q16" s="182"/>
      <c r="R16" s="190"/>
      <c r="S16" s="182"/>
      <c r="T16" s="201"/>
    </row>
    <row r="17" spans="1:20" ht="18" customHeight="1" x14ac:dyDescent="0.45">
      <c r="A17" s="170" t="str">
        <f>名簿!B17&amp;""</f>
        <v>10010007</v>
      </c>
      <c r="B17" s="171" t="str">
        <f>名簿!C17&amp;""</f>
        <v>山本</v>
      </c>
      <c r="C17" s="172" t="str">
        <f>名簿!D17&amp;""</f>
        <v>太郎</v>
      </c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3"/>
    </row>
    <row r="18" spans="1:20" ht="18" customHeight="1" x14ac:dyDescent="0.45">
      <c r="A18" s="170" t="str">
        <f>名簿!B18&amp;""</f>
        <v>10010008</v>
      </c>
      <c r="B18" s="171" t="str">
        <f>名簿!C18&amp;""</f>
        <v>中村</v>
      </c>
      <c r="C18" s="172" t="str">
        <f>名簿!D18&amp;""</f>
        <v>真央</v>
      </c>
      <c r="D18" s="188"/>
      <c r="E18" s="182"/>
      <c r="F18" s="188"/>
      <c r="G18" s="182"/>
      <c r="H18" s="188"/>
      <c r="I18" s="182"/>
      <c r="J18" s="189"/>
      <c r="K18" s="182"/>
      <c r="L18" s="189"/>
      <c r="M18" s="182"/>
      <c r="N18" s="189"/>
      <c r="O18" s="182"/>
      <c r="P18" s="190"/>
      <c r="Q18" s="182"/>
      <c r="R18" s="190"/>
      <c r="S18" s="182"/>
      <c r="T18" s="201"/>
    </row>
    <row r="19" spans="1:20" ht="18" customHeight="1" x14ac:dyDescent="0.45">
      <c r="A19" s="170" t="str">
        <f>名簿!B19&amp;""</f>
        <v>10010009</v>
      </c>
      <c r="B19" s="171" t="str">
        <f>名簿!C19&amp;""</f>
        <v>小林</v>
      </c>
      <c r="C19" s="172" t="str">
        <f>名簿!D19&amp;""</f>
        <v>浩</v>
      </c>
      <c r="D19" s="181"/>
      <c r="E19" s="182"/>
      <c r="F19" s="181"/>
      <c r="G19" s="182"/>
      <c r="H19" s="181"/>
      <c r="I19" s="182"/>
      <c r="J19" s="181"/>
      <c r="K19" s="182"/>
      <c r="L19" s="181"/>
      <c r="M19" s="182"/>
      <c r="N19" s="181"/>
      <c r="O19" s="182"/>
      <c r="P19" s="181"/>
      <c r="Q19" s="182"/>
      <c r="R19" s="181"/>
      <c r="S19" s="182"/>
      <c r="T19" s="183"/>
    </row>
    <row r="20" spans="1:20" ht="18" customHeight="1" x14ac:dyDescent="0.45">
      <c r="A20" s="170" t="str">
        <f>名簿!B20&amp;""</f>
        <v>10010010</v>
      </c>
      <c r="B20" s="171" t="str">
        <f>名簿!C20&amp;""</f>
        <v>加藤</v>
      </c>
      <c r="C20" s="172" t="str">
        <f>名簿!D20&amp;""</f>
        <v>さくら</v>
      </c>
      <c r="D20" s="188"/>
      <c r="E20" s="182"/>
      <c r="F20" s="188"/>
      <c r="G20" s="182"/>
      <c r="H20" s="188"/>
      <c r="I20" s="182"/>
      <c r="J20" s="189"/>
      <c r="K20" s="182"/>
      <c r="L20" s="189"/>
      <c r="M20" s="182"/>
      <c r="N20" s="189"/>
      <c r="O20" s="182"/>
      <c r="P20" s="190"/>
      <c r="Q20" s="182"/>
      <c r="R20" s="190"/>
      <c r="S20" s="182"/>
      <c r="T20" s="201"/>
    </row>
    <row r="21" spans="1:20" ht="18" customHeight="1" x14ac:dyDescent="0.45">
      <c r="A21" s="170" t="str">
        <f>名簿!B21&amp;""</f>
        <v>10010011</v>
      </c>
      <c r="B21" s="171" t="str">
        <f>名簿!C21&amp;""</f>
        <v>吉田</v>
      </c>
      <c r="C21" s="172" t="str">
        <f>名簿!D21&amp;""</f>
        <v>亮</v>
      </c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3"/>
    </row>
    <row r="22" spans="1:20" ht="18" customHeight="1" x14ac:dyDescent="0.45">
      <c r="A22" s="170" t="str">
        <f>名簿!B22&amp;""</f>
        <v>10010012</v>
      </c>
      <c r="B22" s="171" t="str">
        <f>名簿!C22&amp;""</f>
        <v>山田</v>
      </c>
      <c r="C22" s="172" t="str">
        <f>名簿!D22&amp;""</f>
        <v>愛</v>
      </c>
      <c r="D22" s="188"/>
      <c r="E22" s="182"/>
      <c r="F22" s="188"/>
      <c r="G22" s="182"/>
      <c r="H22" s="188"/>
      <c r="I22" s="182"/>
      <c r="J22" s="189"/>
      <c r="K22" s="182"/>
      <c r="L22" s="189"/>
      <c r="M22" s="182"/>
      <c r="N22" s="189"/>
      <c r="O22" s="182"/>
      <c r="P22" s="190"/>
      <c r="Q22" s="182"/>
      <c r="R22" s="190"/>
      <c r="S22" s="182"/>
      <c r="T22" s="201"/>
    </row>
    <row r="23" spans="1:20" ht="18" customHeight="1" x14ac:dyDescent="0.45">
      <c r="A23" s="170" t="str">
        <f>名簿!B23&amp;""</f>
        <v>10010013</v>
      </c>
      <c r="B23" s="171" t="str">
        <f>名簿!C23&amp;""</f>
        <v>佐々木</v>
      </c>
      <c r="C23" s="172" t="str">
        <f>名簿!D23&amp;""</f>
        <v>浩</v>
      </c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3"/>
    </row>
    <row r="24" spans="1:20" ht="18" customHeight="1" x14ac:dyDescent="0.45">
      <c r="A24" s="170" t="str">
        <f>名簿!B24&amp;""</f>
        <v>10010014</v>
      </c>
      <c r="B24" s="171" t="str">
        <f>名簿!C24&amp;""</f>
        <v>山口</v>
      </c>
      <c r="C24" s="172" t="str">
        <f>名簿!D24&amp;""</f>
        <v>結衣</v>
      </c>
      <c r="D24" s="188"/>
      <c r="E24" s="182"/>
      <c r="F24" s="188"/>
      <c r="G24" s="182"/>
      <c r="H24" s="188"/>
      <c r="I24" s="182"/>
      <c r="J24" s="189"/>
      <c r="K24" s="182"/>
      <c r="L24" s="189"/>
      <c r="M24" s="182"/>
      <c r="N24" s="189"/>
      <c r="O24" s="182"/>
      <c r="P24" s="190"/>
      <c r="Q24" s="182"/>
      <c r="R24" s="190"/>
      <c r="S24" s="182"/>
      <c r="T24" s="201"/>
    </row>
    <row r="25" spans="1:20" ht="18" customHeight="1" x14ac:dyDescent="0.45">
      <c r="A25" s="170" t="str">
        <f>名簿!B25&amp;""</f>
        <v>10010015</v>
      </c>
      <c r="B25" s="171" t="str">
        <f>名簿!C25&amp;""</f>
        <v>松本</v>
      </c>
      <c r="C25" s="172" t="str">
        <f>名簿!D25&amp;""</f>
        <v>浩</v>
      </c>
      <c r="D25" s="181"/>
      <c r="E25" s="182"/>
      <c r="F25" s="181"/>
      <c r="G25" s="182"/>
      <c r="H25" s="181"/>
      <c r="I25" s="182"/>
      <c r="J25" s="181"/>
      <c r="K25" s="182"/>
      <c r="L25" s="181"/>
      <c r="M25" s="182"/>
      <c r="N25" s="181"/>
      <c r="O25" s="182"/>
      <c r="P25" s="181"/>
      <c r="Q25" s="182"/>
      <c r="R25" s="181"/>
      <c r="S25" s="182"/>
      <c r="T25" s="183"/>
    </row>
    <row r="26" spans="1:20" ht="18" customHeight="1" x14ac:dyDescent="0.45">
      <c r="A26" s="170" t="str">
        <f>名簿!B26&amp;""</f>
        <v>10010016</v>
      </c>
      <c r="B26" s="171" t="str">
        <f>名簿!C26&amp;""</f>
        <v>井上</v>
      </c>
      <c r="C26" s="172" t="str">
        <f>名簿!D26&amp;""</f>
        <v>結衣</v>
      </c>
      <c r="D26" s="188"/>
      <c r="E26" s="182"/>
      <c r="F26" s="188"/>
      <c r="G26" s="182"/>
      <c r="H26" s="188"/>
      <c r="I26" s="182"/>
      <c r="J26" s="189"/>
      <c r="K26" s="182"/>
      <c r="L26" s="189"/>
      <c r="M26" s="182"/>
      <c r="N26" s="189"/>
      <c r="O26" s="182"/>
      <c r="P26" s="190"/>
      <c r="Q26" s="182"/>
      <c r="R26" s="190"/>
      <c r="S26" s="182"/>
      <c r="T26" s="201"/>
    </row>
    <row r="27" spans="1:20" ht="18" customHeight="1" x14ac:dyDescent="0.45">
      <c r="A27" s="170" t="str">
        <f>名簿!B27&amp;""</f>
        <v>10010017</v>
      </c>
      <c r="B27" s="171" t="str">
        <f>名簿!C27&amp;""</f>
        <v>木村</v>
      </c>
      <c r="C27" s="172" t="str">
        <f>名簿!D27&amp;""</f>
        <v>学</v>
      </c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3"/>
    </row>
    <row r="28" spans="1:20" ht="18" customHeight="1" x14ac:dyDescent="0.45">
      <c r="A28" s="170" t="str">
        <f>名簿!B28&amp;""</f>
        <v>10010018</v>
      </c>
      <c r="B28" s="171" t="str">
        <f>名簿!C28&amp;""</f>
        <v>林</v>
      </c>
      <c r="C28" s="172" t="str">
        <f>名簿!D28&amp;""</f>
        <v>凛</v>
      </c>
      <c r="D28" s="188"/>
      <c r="E28" s="182"/>
      <c r="F28" s="188"/>
      <c r="G28" s="182"/>
      <c r="H28" s="188"/>
      <c r="I28" s="182"/>
      <c r="J28" s="189"/>
      <c r="K28" s="182"/>
      <c r="L28" s="189"/>
      <c r="M28" s="182"/>
      <c r="N28" s="189"/>
      <c r="O28" s="182"/>
      <c r="P28" s="190"/>
      <c r="Q28" s="182"/>
      <c r="R28" s="190"/>
      <c r="S28" s="182"/>
      <c r="T28" s="201"/>
    </row>
    <row r="29" spans="1:20" ht="18" customHeight="1" x14ac:dyDescent="0.45">
      <c r="A29" s="170" t="str">
        <f>名簿!B29&amp;""</f>
        <v>10010019</v>
      </c>
      <c r="B29" s="171" t="str">
        <f>名簿!C29&amp;""</f>
        <v>斎藤</v>
      </c>
      <c r="C29" s="172" t="str">
        <f>名簿!D29&amp;""</f>
        <v>翔太</v>
      </c>
      <c r="D29" s="181"/>
      <c r="E29" s="182"/>
      <c r="F29" s="181"/>
      <c r="G29" s="182"/>
      <c r="H29" s="181"/>
      <c r="I29" s="182"/>
      <c r="J29" s="181"/>
      <c r="K29" s="182"/>
      <c r="L29" s="181"/>
      <c r="M29" s="182"/>
      <c r="N29" s="181"/>
      <c r="O29" s="182"/>
      <c r="P29" s="181"/>
      <c r="Q29" s="182"/>
      <c r="R29" s="181"/>
      <c r="S29" s="182"/>
      <c r="T29" s="183"/>
    </row>
    <row r="30" spans="1:20" ht="18" customHeight="1" x14ac:dyDescent="0.45">
      <c r="A30" s="170" t="str">
        <f>名簿!B30&amp;""</f>
        <v>10010020</v>
      </c>
      <c r="B30" s="171" t="str">
        <f>名簿!C30&amp;""</f>
        <v>清水</v>
      </c>
      <c r="C30" s="172" t="str">
        <f>名簿!D30&amp;""</f>
        <v>結衣</v>
      </c>
      <c r="D30" s="188"/>
      <c r="E30" s="182"/>
      <c r="F30" s="188"/>
      <c r="G30" s="182"/>
      <c r="H30" s="188"/>
      <c r="I30" s="182"/>
      <c r="J30" s="189"/>
      <c r="K30" s="182"/>
      <c r="L30" s="189"/>
      <c r="M30" s="182"/>
      <c r="N30" s="189"/>
      <c r="O30" s="182"/>
      <c r="P30" s="190"/>
      <c r="Q30" s="182"/>
      <c r="R30" s="190"/>
      <c r="S30" s="182"/>
      <c r="T30" s="201"/>
    </row>
    <row r="31" spans="1:20" ht="18" customHeight="1" x14ac:dyDescent="0.45">
      <c r="A31" s="170" t="str">
        <f>名簿!B31&amp;""</f>
        <v>10010021</v>
      </c>
      <c r="B31" s="171" t="str">
        <f>名簿!C31&amp;""</f>
        <v>山崎</v>
      </c>
      <c r="C31" s="172" t="str">
        <f>名簿!D31&amp;""</f>
        <v>一郎</v>
      </c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3"/>
    </row>
    <row r="32" spans="1:20" ht="18" customHeight="1" x14ac:dyDescent="0.45">
      <c r="A32" s="170" t="str">
        <f>名簿!B32&amp;""</f>
        <v>10010022</v>
      </c>
      <c r="B32" s="171" t="str">
        <f>名簿!C32&amp;""</f>
        <v>森</v>
      </c>
      <c r="C32" s="172" t="str">
        <f>名簿!D32&amp;""</f>
        <v>凛</v>
      </c>
      <c r="D32" s="188"/>
      <c r="E32" s="182"/>
      <c r="F32" s="188"/>
      <c r="G32" s="182"/>
      <c r="H32" s="188"/>
      <c r="I32" s="182"/>
      <c r="J32" s="189"/>
      <c r="K32" s="182"/>
      <c r="L32" s="189"/>
      <c r="M32" s="182"/>
      <c r="N32" s="189"/>
      <c r="O32" s="182"/>
      <c r="P32" s="190"/>
      <c r="Q32" s="182"/>
      <c r="R32" s="190"/>
      <c r="S32" s="182"/>
      <c r="T32" s="201"/>
    </row>
    <row r="33" spans="1:20" ht="18" customHeight="1" x14ac:dyDescent="0.45">
      <c r="A33" s="170" t="str">
        <f>名簿!B33&amp;""</f>
        <v>10010023</v>
      </c>
      <c r="B33" s="171" t="str">
        <f>名簿!C33&amp;""</f>
        <v>池田</v>
      </c>
      <c r="C33" s="172" t="str">
        <f>名簿!D33&amp;""</f>
        <v>直樹</v>
      </c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3"/>
    </row>
    <row r="34" spans="1:20" ht="18" customHeight="1" x14ac:dyDescent="0.45">
      <c r="A34" s="170" t="str">
        <f>名簿!B34&amp;""</f>
        <v>10010024</v>
      </c>
      <c r="B34" s="171" t="str">
        <f>名簿!C34&amp;""</f>
        <v>橋本</v>
      </c>
      <c r="C34" s="172" t="str">
        <f>名簿!D34&amp;""</f>
        <v>愛</v>
      </c>
      <c r="D34" s="188"/>
      <c r="E34" s="182"/>
      <c r="F34" s="188"/>
      <c r="G34" s="182"/>
      <c r="H34" s="188"/>
      <c r="I34" s="182"/>
      <c r="J34" s="189"/>
      <c r="K34" s="182"/>
      <c r="L34" s="189"/>
      <c r="M34" s="182"/>
      <c r="N34" s="189"/>
      <c r="O34" s="182"/>
      <c r="P34" s="190"/>
      <c r="Q34" s="182"/>
      <c r="R34" s="190"/>
      <c r="S34" s="182"/>
      <c r="T34" s="201"/>
    </row>
    <row r="35" spans="1:20" ht="18" customHeight="1" x14ac:dyDescent="0.45">
      <c r="A35" s="170" t="str">
        <f>名簿!B35&amp;""</f>
        <v>10010025</v>
      </c>
      <c r="B35" s="171" t="str">
        <f>名簿!C35&amp;""</f>
        <v>阿部</v>
      </c>
      <c r="C35" s="172" t="str">
        <f>名簿!D35&amp;""</f>
        <v>健太</v>
      </c>
      <c r="D35" s="181"/>
      <c r="E35" s="182"/>
      <c r="F35" s="181"/>
      <c r="G35" s="182"/>
      <c r="H35" s="181"/>
      <c r="I35" s="182"/>
      <c r="J35" s="181"/>
      <c r="K35" s="182"/>
      <c r="L35" s="181"/>
      <c r="M35" s="182"/>
      <c r="N35" s="181"/>
      <c r="O35" s="182"/>
      <c r="P35" s="181"/>
      <c r="Q35" s="182"/>
      <c r="R35" s="181"/>
      <c r="S35" s="182"/>
      <c r="T35" s="183"/>
    </row>
    <row r="36" spans="1:20" ht="18" customHeight="1" x14ac:dyDescent="0.45">
      <c r="A36" s="170" t="str">
        <f>名簿!B36&amp;""</f>
        <v>10010026</v>
      </c>
      <c r="B36" s="171" t="str">
        <f>名簿!C36&amp;""</f>
        <v>石川</v>
      </c>
      <c r="C36" s="172" t="str">
        <f>名簿!D36&amp;""</f>
        <v>陽菜</v>
      </c>
      <c r="D36" s="188"/>
      <c r="E36" s="182"/>
      <c r="F36" s="188"/>
      <c r="G36" s="182"/>
      <c r="H36" s="188"/>
      <c r="I36" s="182"/>
      <c r="J36" s="189"/>
      <c r="K36" s="182"/>
      <c r="L36" s="189"/>
      <c r="M36" s="182"/>
      <c r="N36" s="189"/>
      <c r="O36" s="182"/>
      <c r="P36" s="190"/>
      <c r="Q36" s="182"/>
      <c r="R36" s="190"/>
      <c r="S36" s="182"/>
      <c r="T36" s="201"/>
    </row>
    <row r="37" spans="1:20" ht="18" customHeight="1" x14ac:dyDescent="0.45">
      <c r="A37" s="170" t="str">
        <f>名簿!B37&amp;""</f>
        <v>10010027</v>
      </c>
      <c r="B37" s="171" t="str">
        <f>名簿!C37&amp;""</f>
        <v>山下</v>
      </c>
      <c r="C37" s="172" t="str">
        <f>名簿!D37&amp;""</f>
        <v>学</v>
      </c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3"/>
    </row>
    <row r="38" spans="1:20" ht="18" customHeight="1" x14ac:dyDescent="0.45">
      <c r="A38" s="170" t="str">
        <f>名簿!B38&amp;""</f>
        <v>10010028</v>
      </c>
      <c r="B38" s="171" t="str">
        <f>名簿!C38&amp;""</f>
        <v>中島</v>
      </c>
      <c r="C38" s="172" t="str">
        <f>名簿!D38&amp;""</f>
        <v>凛</v>
      </c>
      <c r="D38" s="188"/>
      <c r="E38" s="182"/>
      <c r="F38" s="188"/>
      <c r="G38" s="182"/>
      <c r="H38" s="188"/>
      <c r="I38" s="182"/>
      <c r="J38" s="189"/>
      <c r="K38" s="182"/>
      <c r="L38" s="189"/>
      <c r="M38" s="182"/>
      <c r="N38" s="189"/>
      <c r="O38" s="182"/>
      <c r="P38" s="190"/>
      <c r="Q38" s="182"/>
      <c r="R38" s="190"/>
      <c r="S38" s="182"/>
      <c r="T38" s="201"/>
    </row>
    <row r="39" spans="1:20" ht="18" customHeight="1" x14ac:dyDescent="0.45">
      <c r="A39" s="170" t="str">
        <f>名簿!B39&amp;""</f>
        <v>10010029</v>
      </c>
      <c r="B39" s="171" t="str">
        <f>名簿!C39&amp;""</f>
        <v>石井</v>
      </c>
      <c r="C39" s="172" t="str">
        <f>名簿!D39&amp;""</f>
        <v>健太</v>
      </c>
      <c r="D39" s="181"/>
      <c r="E39" s="182"/>
      <c r="F39" s="181"/>
      <c r="G39" s="182"/>
      <c r="H39" s="181"/>
      <c r="I39" s="182"/>
      <c r="J39" s="181"/>
      <c r="K39" s="182"/>
      <c r="L39" s="181"/>
      <c r="M39" s="182"/>
      <c r="N39" s="181"/>
      <c r="O39" s="182"/>
      <c r="P39" s="181"/>
      <c r="Q39" s="182"/>
      <c r="R39" s="181"/>
      <c r="S39" s="182"/>
      <c r="T39" s="183"/>
    </row>
    <row r="40" spans="1:20" ht="18" customHeight="1" thickBot="1" x14ac:dyDescent="0.5">
      <c r="A40" s="173" t="str">
        <f>名簿!B40&amp;""</f>
        <v>10010030</v>
      </c>
      <c r="B40" s="174" t="str">
        <f>名簿!C40&amp;""</f>
        <v>小川</v>
      </c>
      <c r="C40" s="175" t="str">
        <f>名簿!D40&amp;""</f>
        <v>楓</v>
      </c>
      <c r="D40" s="191"/>
      <c r="E40" s="184"/>
      <c r="F40" s="191"/>
      <c r="G40" s="184"/>
      <c r="H40" s="191"/>
      <c r="I40" s="184"/>
      <c r="J40" s="192"/>
      <c r="K40" s="184"/>
      <c r="L40" s="192"/>
      <c r="M40" s="184"/>
      <c r="N40" s="192"/>
      <c r="O40" s="184"/>
      <c r="P40" s="193"/>
      <c r="Q40" s="184"/>
      <c r="R40" s="193"/>
      <c r="S40" s="184"/>
      <c r="T40" s="202"/>
    </row>
    <row r="41" spans="1:20" x14ac:dyDescent="0.45">
      <c r="A41" s="186" t="str">
        <f>名簿!B41&amp;""</f>
        <v/>
      </c>
      <c r="B41" s="186" t="str">
        <f>名簿!C41&amp;""</f>
        <v/>
      </c>
      <c r="C41" s="186" t="str">
        <f>名簿!D41&amp;""</f>
        <v/>
      </c>
    </row>
    <row r="42" spans="1:20" x14ac:dyDescent="0.45">
      <c r="A42" s="186" t="str">
        <f>名簿!B42&amp;""</f>
        <v/>
      </c>
      <c r="B42" s="186" t="str">
        <f>名簿!C42&amp;""</f>
        <v/>
      </c>
      <c r="C42" s="186" t="str">
        <f>名簿!D42&amp;""</f>
        <v/>
      </c>
    </row>
    <row r="43" spans="1:20" x14ac:dyDescent="0.45">
      <c r="A43" s="186" t="str">
        <f>名簿!B43&amp;""</f>
        <v/>
      </c>
      <c r="B43" s="186" t="str">
        <f>名簿!C43&amp;""</f>
        <v/>
      </c>
      <c r="C43" s="186" t="str">
        <f>名簿!D43&amp;""</f>
        <v/>
      </c>
    </row>
    <row r="44" spans="1:20" x14ac:dyDescent="0.45">
      <c r="A44" s="186" t="str">
        <f>名簿!B44&amp;""</f>
        <v/>
      </c>
      <c r="B44" s="186" t="str">
        <f>名簿!C44&amp;""</f>
        <v/>
      </c>
      <c r="C44" s="186" t="str">
        <f>名簿!D44&amp;""</f>
        <v/>
      </c>
    </row>
    <row r="45" spans="1:20" x14ac:dyDescent="0.45">
      <c r="A45" s="186" t="str">
        <f>名簿!B45&amp;""</f>
        <v/>
      </c>
      <c r="B45" s="186" t="str">
        <f>名簿!C45&amp;""</f>
        <v/>
      </c>
      <c r="C45" s="186" t="str">
        <f>名簿!D45&amp;""</f>
        <v/>
      </c>
    </row>
    <row r="46" spans="1:20" x14ac:dyDescent="0.45">
      <c r="A46" s="186" t="str">
        <f>名簿!B46&amp;""</f>
        <v/>
      </c>
      <c r="B46" s="186" t="str">
        <f>名簿!C46&amp;""</f>
        <v/>
      </c>
      <c r="C46" s="186" t="str">
        <f>名簿!D46&amp;""</f>
        <v/>
      </c>
    </row>
    <row r="47" spans="1:20" x14ac:dyDescent="0.45">
      <c r="A47" s="186" t="str">
        <f>名簿!B47&amp;""</f>
        <v/>
      </c>
      <c r="B47" s="186" t="str">
        <f>名簿!C47&amp;""</f>
        <v/>
      </c>
      <c r="C47" s="186" t="str">
        <f>名簿!D47&amp;""</f>
        <v/>
      </c>
    </row>
    <row r="48" spans="1:20" x14ac:dyDescent="0.45">
      <c r="A48" s="186" t="str">
        <f>名簿!B48&amp;""</f>
        <v/>
      </c>
      <c r="B48" s="186" t="str">
        <f>名簿!C48&amp;""</f>
        <v/>
      </c>
      <c r="C48" s="186" t="str">
        <f>名簿!D48&amp;""</f>
        <v/>
      </c>
    </row>
    <row r="49" spans="1:3" x14ac:dyDescent="0.45">
      <c r="A49" s="186" t="str">
        <f>名簿!B49&amp;""</f>
        <v/>
      </c>
      <c r="B49" s="186" t="str">
        <f>名簿!C49&amp;""</f>
        <v/>
      </c>
      <c r="C49" s="186" t="str">
        <f>名簿!D49&amp;""</f>
        <v/>
      </c>
    </row>
    <row r="50" spans="1:3" x14ac:dyDescent="0.45">
      <c r="A50" s="186" t="str">
        <f>名簿!B50&amp;""</f>
        <v/>
      </c>
      <c r="B50" s="186" t="str">
        <f>名簿!C50&amp;""</f>
        <v/>
      </c>
      <c r="C50" s="186" t="str">
        <f>名簿!D50&amp;""</f>
        <v/>
      </c>
    </row>
  </sheetData>
  <sheetProtection algorithmName="SHA-512" hashValue="j8ycYCNZ4bEdUy+fZt8a1pfHkjMSf3DL7no9fLonLBi5dKi6JjiLtcsNoP3OLL0aQhm8h4154aOZ39cX4lY0mw==" saltValue="oZyixZ4OolYhfqV7FKEkDA==" spinCount="100000" sheet="1" objects="1"/>
  <mergeCells count="3">
    <mergeCell ref="A8:A9"/>
    <mergeCell ref="B8:B9"/>
    <mergeCell ref="C8:C9"/>
  </mergeCells>
  <phoneticPr fontId="1"/>
  <pageMargins left="0.7" right="0.7" top="0.75" bottom="0.75" header="0.3" footer="0.3"/>
  <pageSetup paperSize="9" scale="57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E10" sqref="E10"/>
    </sheetView>
  </sheetViews>
  <sheetFormatPr defaultRowHeight="18" x14ac:dyDescent="0.45"/>
  <cols>
    <col min="2" max="2" width="10.5" customWidth="1"/>
    <col min="3" max="4" width="9" customWidth="1"/>
    <col min="6" max="6" width="5.69921875" customWidth="1"/>
    <col min="7" max="7" width="7.09765625" customWidth="1"/>
    <col min="8" max="8" width="8.09765625" customWidth="1"/>
    <col min="11" max="11" width="5.69921875" customWidth="1"/>
    <col min="12" max="12" width="7" customWidth="1"/>
    <col min="13" max="13" width="17" customWidth="1"/>
    <col min="14" max="14" width="9.5" customWidth="1"/>
    <col min="16" max="16" width="10.19921875" customWidth="1"/>
    <col min="17" max="17" width="11.69921875" customWidth="1"/>
  </cols>
  <sheetData>
    <row r="1" spans="1:21" ht="29.4" thickBot="1" x14ac:dyDescent="0.5">
      <c r="A1" s="6" t="s">
        <v>18</v>
      </c>
      <c r="C1" s="220" t="s">
        <v>30</v>
      </c>
      <c r="D1" s="221"/>
      <c r="E1" s="221"/>
      <c r="F1" s="222"/>
      <c r="H1" s="220" t="s">
        <v>31</v>
      </c>
      <c r="I1" s="221"/>
      <c r="J1" s="221"/>
      <c r="K1" s="222"/>
      <c r="M1" s="60" t="s">
        <v>32</v>
      </c>
      <c r="N1" s="61" t="str">
        <f>IF(F14=K14,"有効","無効")</f>
        <v>有効</v>
      </c>
      <c r="O1" s="61"/>
      <c r="P1" s="61"/>
      <c r="Q1" s="62"/>
    </row>
    <row r="2" spans="1:21" x14ac:dyDescent="0.45">
      <c r="C2" s="5" t="s">
        <v>9</v>
      </c>
      <c r="D2" s="5">
        <f>F4</f>
        <v>79.5</v>
      </c>
      <c r="E2" s="4" t="s">
        <v>20</v>
      </c>
      <c r="F2" s="5">
        <f>MIN(F15:F54)</f>
        <v>0</v>
      </c>
      <c r="H2" s="5" t="s">
        <v>9</v>
      </c>
      <c r="I2" s="5">
        <f>K4</f>
        <v>80</v>
      </c>
      <c r="J2" s="4" t="s">
        <v>20</v>
      </c>
      <c r="K2" s="5">
        <f>MIN(K15:K54)</f>
        <v>0</v>
      </c>
      <c r="M2" s="55" t="s">
        <v>33</v>
      </c>
      <c r="N2">
        <f>_xlfn.COVARIANCE.P(F15:F54,K15:K54)</f>
        <v>1236</v>
      </c>
      <c r="P2" s="63" t="s">
        <v>36</v>
      </c>
      <c r="Q2" s="54" t="str">
        <f>IF(N6&lt;0.05,"有意差あり","有意差なし")</f>
        <v>有意差なし</v>
      </c>
    </row>
    <row r="3" spans="1:21" ht="18.600000000000001" thickBot="1" x14ac:dyDescent="0.5">
      <c r="C3" s="2" t="s">
        <v>8</v>
      </c>
      <c r="D3" s="2">
        <f>AVERAGE(F15:F54)</f>
        <v>61.8</v>
      </c>
      <c r="E3" s="7" t="s">
        <v>22</v>
      </c>
      <c r="F3" s="2">
        <f>_xlfn.QUARTILE.EXC($F$15:$F$54,1)</f>
        <v>0</v>
      </c>
      <c r="H3" s="2" t="s">
        <v>8</v>
      </c>
      <c r="I3" s="2">
        <f>AVERAGE(K15:K54)</f>
        <v>60</v>
      </c>
      <c r="J3" s="7" t="s">
        <v>22</v>
      </c>
      <c r="K3" s="2">
        <f>_xlfn.QUARTILE.EXC($K$15:$K$54,1)</f>
        <v>20</v>
      </c>
      <c r="M3" s="55" t="s">
        <v>34</v>
      </c>
      <c r="N3">
        <f>N2/(D4*I4)</f>
        <v>0.92021462323051828</v>
      </c>
      <c r="P3" s="57" t="s">
        <v>37</v>
      </c>
      <c r="Q3" s="59" t="str">
        <f>IF(N6&lt;0.01,"有意差あり","有意差なし")</f>
        <v>有意差なし</v>
      </c>
    </row>
    <row r="4" spans="1:21" x14ac:dyDescent="0.45">
      <c r="C4" s="2" t="s">
        <v>10</v>
      </c>
      <c r="D4" s="2">
        <f>_xlfn.STDEV.P(F15:F54)</f>
        <v>38.773831381487177</v>
      </c>
      <c r="E4" s="7" t="s">
        <v>23</v>
      </c>
      <c r="F4" s="2">
        <f>_xlfn.QUARTILE.EXC($F$15:$F$54,2)</f>
        <v>79.5</v>
      </c>
      <c r="H4" s="2" t="s">
        <v>10</v>
      </c>
      <c r="I4" s="2">
        <f>_xlfn.STDEV.P(K15:K54)</f>
        <v>34.641016151377549</v>
      </c>
      <c r="J4" s="7" t="s">
        <v>23</v>
      </c>
      <c r="K4" s="2">
        <f>_xlfn.QUARTILE.EXC($K$15:$K$54,2)</f>
        <v>80</v>
      </c>
      <c r="M4" s="55" t="s">
        <v>39</v>
      </c>
      <c r="N4">
        <f>COUNTA(B15:B54)-1</f>
        <v>39</v>
      </c>
      <c r="Q4" s="56"/>
    </row>
    <row r="5" spans="1:21" x14ac:dyDescent="0.45">
      <c r="C5" s="2" t="s">
        <v>12</v>
      </c>
      <c r="D5" s="2">
        <f>D4/D3</f>
        <v>0.62740827478134598</v>
      </c>
      <c r="E5" s="7" t="s">
        <v>24</v>
      </c>
      <c r="F5" s="2">
        <f>_xlfn.QUARTILE.EXC($F$15:$F$54,3)</f>
        <v>89.75</v>
      </c>
      <c r="H5" s="2" t="s">
        <v>12</v>
      </c>
      <c r="I5" s="2">
        <f>I4/I3</f>
        <v>0.57735026918962584</v>
      </c>
      <c r="J5" s="7" t="s">
        <v>24</v>
      </c>
      <c r="K5" s="2">
        <f>_xlfn.QUARTILE.EXC($K$15:$K$54,3)</f>
        <v>80</v>
      </c>
      <c r="M5" s="55" t="s">
        <v>40</v>
      </c>
      <c r="N5">
        <f>ABS(M56/SQRT(M55/COUNTA(B15:B54)))</f>
        <v>0.74836150480770458</v>
      </c>
      <c r="Q5" s="56"/>
    </row>
    <row r="6" spans="1:21" ht="18.600000000000001" thickBot="1" x14ac:dyDescent="0.5">
      <c r="D6" s="9"/>
      <c r="E6" s="7" t="s">
        <v>19</v>
      </c>
      <c r="F6" s="2">
        <f>MAX($F$15:$F$54)</f>
        <v>100</v>
      </c>
      <c r="I6" s="8"/>
      <c r="J6" s="2" t="s">
        <v>19</v>
      </c>
      <c r="K6" s="2">
        <f>MAX($K$15:$K$54)</f>
        <v>80</v>
      </c>
      <c r="M6" s="57" t="s">
        <v>35</v>
      </c>
      <c r="N6" s="58">
        <f>_xlfn.T.TEST(F15:F54,K15:K54,2,1)</f>
        <v>0.46436304525384531</v>
      </c>
      <c r="O6" s="58">
        <f>_xlfn.T.DIST.2T(N5,COUNTA(B15:B54)-1)</f>
        <v>0.45873164972640712</v>
      </c>
      <c r="P6" s="58" t="s">
        <v>43</v>
      </c>
      <c r="Q6" s="59"/>
    </row>
    <row r="7" spans="1:21" ht="2.25" customHeight="1" x14ac:dyDescent="0.45"/>
    <row r="8" spans="1:21" ht="21" customHeight="1" x14ac:dyDescent="0.45">
      <c r="C8" s="218" t="s">
        <v>25</v>
      </c>
      <c r="D8" s="218"/>
      <c r="E8" s="218"/>
      <c r="F8" s="21" t="s">
        <v>26</v>
      </c>
      <c r="G8" s="34" t="s">
        <v>28</v>
      </c>
      <c r="H8" s="219" t="s">
        <v>29</v>
      </c>
      <c r="I8" s="219"/>
      <c r="J8" s="219"/>
      <c r="K8" s="38" t="s">
        <v>27</v>
      </c>
      <c r="L8" s="39" t="s">
        <v>28</v>
      </c>
    </row>
    <row r="9" spans="1:21" ht="21" customHeight="1" x14ac:dyDescent="0.45">
      <c r="B9" s="2" t="s">
        <v>21</v>
      </c>
      <c r="C9" s="10" t="s">
        <v>137</v>
      </c>
      <c r="D9" s="10"/>
      <c r="E9" s="18"/>
      <c r="F9" s="26"/>
      <c r="G9" s="21"/>
      <c r="H9" s="31" t="s">
        <v>142</v>
      </c>
      <c r="I9" s="12"/>
      <c r="J9" s="35"/>
      <c r="K9" s="38"/>
      <c r="L9" s="38"/>
    </row>
    <row r="10" spans="1:21" ht="21" customHeight="1" x14ac:dyDescent="0.45">
      <c r="B10" s="2" t="s">
        <v>4</v>
      </c>
      <c r="C10" s="14">
        <v>46055</v>
      </c>
      <c r="D10" s="14"/>
      <c r="E10" s="19"/>
      <c r="F10" s="27"/>
      <c r="G10" s="23"/>
      <c r="H10" s="32">
        <v>46055</v>
      </c>
      <c r="I10" s="15"/>
      <c r="J10" s="36"/>
      <c r="K10" s="41"/>
      <c r="L10" s="41"/>
      <c r="M10" s="1"/>
      <c r="N10" s="1"/>
      <c r="O10" s="1"/>
      <c r="P10" s="1"/>
      <c r="Q10" s="1"/>
      <c r="R10" s="1"/>
      <c r="S10" s="1"/>
      <c r="T10" s="1"/>
      <c r="U10" s="1"/>
    </row>
    <row r="11" spans="1:21" ht="21" customHeight="1" x14ac:dyDescent="0.45">
      <c r="B11" s="2" t="s">
        <v>0</v>
      </c>
      <c r="C11" s="10" t="s">
        <v>14</v>
      </c>
      <c r="D11" s="10"/>
      <c r="E11" s="18"/>
      <c r="F11" s="28"/>
      <c r="G11" s="24"/>
      <c r="H11" s="31" t="s">
        <v>14</v>
      </c>
      <c r="I11" s="12"/>
      <c r="J11" s="35"/>
      <c r="K11" s="42"/>
      <c r="L11" s="42"/>
    </row>
    <row r="12" spans="1:21" ht="21" customHeight="1" x14ac:dyDescent="0.45">
      <c r="B12" s="2" t="s">
        <v>1</v>
      </c>
      <c r="C12" s="16" t="s">
        <v>136</v>
      </c>
      <c r="D12" s="16"/>
      <c r="E12" s="20"/>
      <c r="F12" s="29"/>
      <c r="G12" s="25"/>
      <c r="H12" s="33" t="s">
        <v>190</v>
      </c>
      <c r="I12" s="17"/>
      <c r="J12" s="37"/>
      <c r="K12" s="43"/>
      <c r="L12" s="43"/>
    </row>
    <row r="13" spans="1:21" ht="21" customHeight="1" x14ac:dyDescent="0.45">
      <c r="B13" s="2" t="s">
        <v>2</v>
      </c>
      <c r="C13" s="10" t="s">
        <v>15</v>
      </c>
      <c r="D13" s="10"/>
      <c r="E13" s="18"/>
      <c r="F13" s="30"/>
      <c r="G13" s="22"/>
      <c r="H13" s="31" t="s">
        <v>15</v>
      </c>
      <c r="I13" s="12"/>
      <c r="J13" s="35"/>
      <c r="K13" s="40"/>
      <c r="L13" s="40"/>
    </row>
    <row r="14" spans="1:21" ht="18.600000000000001" thickBot="1" x14ac:dyDescent="0.5">
      <c r="B14" s="3" t="s">
        <v>3</v>
      </c>
      <c r="C14" s="34">
        <v>100</v>
      </c>
      <c r="D14" s="34"/>
      <c r="E14" s="34"/>
      <c r="F14" s="24">
        <f>E14+D14+C14</f>
        <v>100</v>
      </c>
      <c r="G14" s="21">
        <f t="shared" ref="G14:G54" si="0">ROUND((F14-$D$3)*10/$D$4+50,0)</f>
        <v>60</v>
      </c>
      <c r="H14" s="39">
        <v>100</v>
      </c>
      <c r="I14" s="39"/>
      <c r="J14" s="39"/>
      <c r="K14" s="42">
        <f>J14+I14+H14</f>
        <v>100</v>
      </c>
      <c r="L14" s="42">
        <f>ROUND((K14-$I$3)*10/$I$4+50,0)</f>
        <v>62</v>
      </c>
      <c r="M14" s="1" t="s">
        <v>41</v>
      </c>
      <c r="N14" s="1"/>
      <c r="O14" s="1"/>
      <c r="P14" s="1"/>
      <c r="Q14" s="1"/>
      <c r="R14" s="1"/>
      <c r="S14" s="1"/>
    </row>
    <row r="15" spans="1:21" x14ac:dyDescent="0.45">
      <c r="B15" s="44" t="str">
        <f>IF(名簿!C11="","",名簿!C11 &amp; 名簿!D11)</f>
        <v>田中雄介</v>
      </c>
      <c r="C15" s="45">
        <v>100</v>
      </c>
      <c r="D15" s="45"/>
      <c r="E15" s="45"/>
      <c r="F15" s="45">
        <f>E15+D15+C15</f>
        <v>100</v>
      </c>
      <c r="G15" s="45">
        <f t="shared" si="0"/>
        <v>60</v>
      </c>
      <c r="H15" s="46">
        <v>80</v>
      </c>
      <c r="I15" s="46"/>
      <c r="J15" s="46"/>
      <c r="K15" s="46">
        <f>J15+I15+H15</f>
        <v>80</v>
      </c>
      <c r="L15" s="47">
        <f t="shared" ref="L15:L54" si="1">ROUND((K15-$I$3)*10/$I$4+50,0)</f>
        <v>56</v>
      </c>
      <c r="M15">
        <f>F15-K15</f>
        <v>20</v>
      </c>
    </row>
    <row r="16" spans="1:21" x14ac:dyDescent="0.45">
      <c r="B16" s="48" t="str">
        <f>IF(名簿!C12="","",名簿!C12 &amp; 名簿!D12)</f>
        <v>佐藤凛</v>
      </c>
      <c r="C16" s="11">
        <v>99</v>
      </c>
      <c r="D16" s="11"/>
      <c r="E16" s="11"/>
      <c r="F16" s="11">
        <f t="shared" ref="F16:F54" si="2">E16+D16+C16</f>
        <v>99</v>
      </c>
      <c r="G16" s="11">
        <f t="shared" si="0"/>
        <v>60</v>
      </c>
      <c r="H16" s="13">
        <v>80</v>
      </c>
      <c r="I16" s="13"/>
      <c r="J16" s="13"/>
      <c r="K16" s="13">
        <f>J16+I16+H16</f>
        <v>80</v>
      </c>
      <c r="L16" s="49">
        <f t="shared" si="1"/>
        <v>56</v>
      </c>
      <c r="M16">
        <f t="shared" ref="M16:M54" si="3">F16-K16</f>
        <v>19</v>
      </c>
    </row>
    <row r="17" spans="2:13" x14ac:dyDescent="0.45">
      <c r="B17" s="48" t="str">
        <f>IF(名簿!C13="","",名簿!C13 &amp; 名簿!D13)</f>
        <v>鈴木誠</v>
      </c>
      <c r="C17" s="11">
        <v>98</v>
      </c>
      <c r="D17" s="11"/>
      <c r="E17" s="11"/>
      <c r="F17" s="11">
        <f t="shared" si="2"/>
        <v>98</v>
      </c>
      <c r="G17" s="11">
        <f t="shared" si="0"/>
        <v>59</v>
      </c>
      <c r="H17" s="13">
        <v>80</v>
      </c>
      <c r="I17" s="13"/>
      <c r="J17" s="13"/>
      <c r="K17" s="13">
        <f t="shared" ref="K17:K54" si="4">J17+I17+H17</f>
        <v>80</v>
      </c>
      <c r="L17" s="49">
        <f t="shared" si="1"/>
        <v>56</v>
      </c>
      <c r="M17">
        <f t="shared" si="3"/>
        <v>18</v>
      </c>
    </row>
    <row r="18" spans="2:13" x14ac:dyDescent="0.45">
      <c r="B18" s="48" t="str">
        <f>IF(名簿!C14="","",名簿!C14 &amp; 名簿!D14)</f>
        <v>高橋美優</v>
      </c>
      <c r="C18" s="11">
        <v>97</v>
      </c>
      <c r="D18" s="11"/>
      <c r="E18" s="11"/>
      <c r="F18" s="11">
        <f t="shared" si="2"/>
        <v>97</v>
      </c>
      <c r="G18" s="11">
        <f t="shared" si="0"/>
        <v>59</v>
      </c>
      <c r="H18" s="13">
        <v>80</v>
      </c>
      <c r="I18" s="13"/>
      <c r="J18" s="13"/>
      <c r="K18" s="13">
        <f t="shared" si="4"/>
        <v>80</v>
      </c>
      <c r="L18" s="49">
        <f t="shared" si="1"/>
        <v>56</v>
      </c>
      <c r="M18">
        <f t="shared" si="3"/>
        <v>17</v>
      </c>
    </row>
    <row r="19" spans="2:13" x14ac:dyDescent="0.45">
      <c r="B19" s="48" t="str">
        <f>IF(名簿!C15="","",名簿!C15 &amp; 名簿!D15)</f>
        <v>渡辺誠</v>
      </c>
      <c r="C19" s="11">
        <v>96</v>
      </c>
      <c r="D19" s="11"/>
      <c r="E19" s="11"/>
      <c r="F19" s="11">
        <f t="shared" si="2"/>
        <v>96</v>
      </c>
      <c r="G19" s="11">
        <f t="shared" si="0"/>
        <v>59</v>
      </c>
      <c r="H19" s="13">
        <v>80</v>
      </c>
      <c r="I19" s="13"/>
      <c r="J19" s="13"/>
      <c r="K19" s="13">
        <f t="shared" si="4"/>
        <v>80</v>
      </c>
      <c r="L19" s="49">
        <f t="shared" si="1"/>
        <v>56</v>
      </c>
      <c r="M19">
        <f t="shared" si="3"/>
        <v>16</v>
      </c>
    </row>
    <row r="20" spans="2:13" x14ac:dyDescent="0.45">
      <c r="B20" s="48" t="str">
        <f>IF(名簿!C16="","",名簿!C16 &amp; 名簿!D16)</f>
        <v>伊藤凛</v>
      </c>
      <c r="C20" s="11">
        <v>95</v>
      </c>
      <c r="D20" s="11"/>
      <c r="E20" s="11"/>
      <c r="F20" s="11">
        <f t="shared" si="2"/>
        <v>95</v>
      </c>
      <c r="G20" s="11">
        <f t="shared" si="0"/>
        <v>59</v>
      </c>
      <c r="H20" s="13">
        <v>80</v>
      </c>
      <c r="I20" s="13"/>
      <c r="J20" s="13"/>
      <c r="K20" s="13">
        <f t="shared" si="4"/>
        <v>80</v>
      </c>
      <c r="L20" s="49">
        <f t="shared" si="1"/>
        <v>56</v>
      </c>
      <c r="M20">
        <f t="shared" si="3"/>
        <v>15</v>
      </c>
    </row>
    <row r="21" spans="2:13" x14ac:dyDescent="0.45">
      <c r="B21" s="48" t="str">
        <f>IF(名簿!C17="","",名簿!C17 &amp; 名簿!D17)</f>
        <v>山本太郎</v>
      </c>
      <c r="C21" s="11">
        <v>94</v>
      </c>
      <c r="D21" s="11"/>
      <c r="E21" s="11"/>
      <c r="F21" s="11">
        <f t="shared" si="2"/>
        <v>94</v>
      </c>
      <c r="G21" s="11">
        <f t="shared" si="0"/>
        <v>58</v>
      </c>
      <c r="H21" s="13">
        <v>80</v>
      </c>
      <c r="I21" s="13"/>
      <c r="J21" s="13"/>
      <c r="K21" s="13">
        <f t="shared" si="4"/>
        <v>80</v>
      </c>
      <c r="L21" s="49">
        <f t="shared" si="1"/>
        <v>56</v>
      </c>
      <c r="M21">
        <f t="shared" si="3"/>
        <v>14</v>
      </c>
    </row>
    <row r="22" spans="2:13" x14ac:dyDescent="0.45">
      <c r="B22" s="48" t="str">
        <f>IF(名簿!C18="","",名簿!C18 &amp; 名簿!D18)</f>
        <v>中村真央</v>
      </c>
      <c r="C22" s="11"/>
      <c r="D22" s="11"/>
      <c r="E22" s="11"/>
      <c r="F22" s="11">
        <f t="shared" si="2"/>
        <v>0</v>
      </c>
      <c r="G22" s="11">
        <f t="shared" si="0"/>
        <v>34</v>
      </c>
      <c r="H22" s="13">
        <v>80</v>
      </c>
      <c r="I22" s="13"/>
      <c r="J22" s="13"/>
      <c r="K22" s="13">
        <f t="shared" si="4"/>
        <v>80</v>
      </c>
      <c r="L22" s="49">
        <f t="shared" si="1"/>
        <v>56</v>
      </c>
      <c r="M22">
        <f t="shared" si="3"/>
        <v>-80</v>
      </c>
    </row>
    <row r="23" spans="2:13" x14ac:dyDescent="0.45">
      <c r="B23" s="48" t="str">
        <f>IF(名簿!C19="","",名簿!C19 &amp; 名簿!D19)</f>
        <v>小林浩</v>
      </c>
      <c r="C23" s="11">
        <v>92</v>
      </c>
      <c r="D23" s="11"/>
      <c r="E23" s="11"/>
      <c r="F23" s="11">
        <f t="shared" si="2"/>
        <v>92</v>
      </c>
      <c r="G23" s="11">
        <f t="shared" si="0"/>
        <v>58</v>
      </c>
      <c r="H23" s="13">
        <v>80</v>
      </c>
      <c r="I23" s="13"/>
      <c r="J23" s="13"/>
      <c r="K23" s="13">
        <f t="shared" si="4"/>
        <v>80</v>
      </c>
      <c r="L23" s="49">
        <f t="shared" si="1"/>
        <v>56</v>
      </c>
      <c r="M23">
        <f t="shared" si="3"/>
        <v>12</v>
      </c>
    </row>
    <row r="24" spans="2:13" x14ac:dyDescent="0.45">
      <c r="B24" s="48" t="str">
        <f>IF(名簿!C20="","",名簿!C20 &amp; 名簿!D20)</f>
        <v>加藤さくら</v>
      </c>
      <c r="C24" s="11">
        <v>91</v>
      </c>
      <c r="D24" s="11"/>
      <c r="E24" s="11"/>
      <c r="F24" s="11">
        <f t="shared" si="2"/>
        <v>91</v>
      </c>
      <c r="G24" s="11">
        <f t="shared" si="0"/>
        <v>58</v>
      </c>
      <c r="H24" s="13">
        <v>80</v>
      </c>
      <c r="I24" s="13"/>
      <c r="J24" s="13"/>
      <c r="K24" s="13">
        <f t="shared" si="4"/>
        <v>80</v>
      </c>
      <c r="L24" s="49">
        <f t="shared" si="1"/>
        <v>56</v>
      </c>
      <c r="M24">
        <f t="shared" si="3"/>
        <v>11</v>
      </c>
    </row>
    <row r="25" spans="2:13" x14ac:dyDescent="0.45">
      <c r="B25" s="48" t="str">
        <f>IF(名簿!C21="","",名簿!C21 &amp; 名簿!D21)</f>
        <v>吉田亮</v>
      </c>
      <c r="C25" s="11">
        <v>90</v>
      </c>
      <c r="D25" s="11"/>
      <c r="E25" s="11"/>
      <c r="F25" s="11">
        <f t="shared" si="2"/>
        <v>90</v>
      </c>
      <c r="G25" s="11">
        <f t="shared" si="0"/>
        <v>57</v>
      </c>
      <c r="H25" s="13">
        <v>80</v>
      </c>
      <c r="I25" s="13"/>
      <c r="J25" s="13"/>
      <c r="K25" s="13">
        <f t="shared" si="4"/>
        <v>80</v>
      </c>
      <c r="L25" s="49">
        <f t="shared" si="1"/>
        <v>56</v>
      </c>
      <c r="M25">
        <f t="shared" si="3"/>
        <v>10</v>
      </c>
    </row>
    <row r="26" spans="2:13" x14ac:dyDescent="0.45">
      <c r="B26" s="48" t="str">
        <f>IF(名簿!C22="","",名簿!C22 &amp; 名簿!D22)</f>
        <v>山田愛</v>
      </c>
      <c r="C26" s="11">
        <v>89</v>
      </c>
      <c r="D26" s="11"/>
      <c r="E26" s="11"/>
      <c r="F26" s="11">
        <f t="shared" si="2"/>
        <v>89</v>
      </c>
      <c r="G26" s="11">
        <f t="shared" si="0"/>
        <v>57</v>
      </c>
      <c r="H26" s="13">
        <v>80</v>
      </c>
      <c r="I26" s="13"/>
      <c r="J26" s="13"/>
      <c r="K26" s="13">
        <f t="shared" si="4"/>
        <v>80</v>
      </c>
      <c r="L26" s="49">
        <f t="shared" si="1"/>
        <v>56</v>
      </c>
      <c r="M26">
        <f t="shared" si="3"/>
        <v>9</v>
      </c>
    </row>
    <row r="27" spans="2:13" x14ac:dyDescent="0.45">
      <c r="B27" s="48" t="str">
        <f>IF(名簿!C23="","",名簿!C23 &amp; 名簿!D23)</f>
        <v>佐々木浩</v>
      </c>
      <c r="C27" s="11">
        <v>88</v>
      </c>
      <c r="D27" s="11"/>
      <c r="E27" s="11"/>
      <c r="F27" s="11">
        <f t="shared" si="2"/>
        <v>88</v>
      </c>
      <c r="G27" s="11">
        <f t="shared" si="0"/>
        <v>57</v>
      </c>
      <c r="H27" s="13">
        <v>80</v>
      </c>
      <c r="I27" s="13"/>
      <c r="J27" s="13"/>
      <c r="K27" s="13">
        <f t="shared" si="4"/>
        <v>80</v>
      </c>
      <c r="L27" s="49">
        <f t="shared" si="1"/>
        <v>56</v>
      </c>
      <c r="M27">
        <f t="shared" si="3"/>
        <v>8</v>
      </c>
    </row>
    <row r="28" spans="2:13" x14ac:dyDescent="0.45">
      <c r="B28" s="48" t="str">
        <f>IF(名簿!C24="","",名簿!C24 &amp; 名簿!D24)</f>
        <v>山口結衣</v>
      </c>
      <c r="C28" s="11">
        <v>87</v>
      </c>
      <c r="D28" s="11"/>
      <c r="E28" s="11"/>
      <c r="F28" s="11">
        <f t="shared" si="2"/>
        <v>87</v>
      </c>
      <c r="G28" s="11">
        <f t="shared" si="0"/>
        <v>56</v>
      </c>
      <c r="H28" s="13">
        <v>80</v>
      </c>
      <c r="I28" s="13"/>
      <c r="J28" s="13"/>
      <c r="K28" s="13">
        <f t="shared" si="4"/>
        <v>80</v>
      </c>
      <c r="L28" s="49">
        <f t="shared" si="1"/>
        <v>56</v>
      </c>
      <c r="M28">
        <f t="shared" si="3"/>
        <v>7</v>
      </c>
    </row>
    <row r="29" spans="2:13" x14ac:dyDescent="0.45">
      <c r="B29" s="48" t="str">
        <f>IF(名簿!C25="","",名簿!C25 &amp; 名簿!D25)</f>
        <v>松本浩</v>
      </c>
      <c r="C29" s="11">
        <v>86</v>
      </c>
      <c r="D29" s="11"/>
      <c r="E29" s="11"/>
      <c r="F29" s="11">
        <f t="shared" si="2"/>
        <v>86</v>
      </c>
      <c r="G29" s="11">
        <f t="shared" si="0"/>
        <v>56</v>
      </c>
      <c r="H29" s="13">
        <v>80</v>
      </c>
      <c r="I29" s="13"/>
      <c r="J29" s="13"/>
      <c r="K29" s="13">
        <f t="shared" si="4"/>
        <v>80</v>
      </c>
      <c r="L29" s="49">
        <f t="shared" si="1"/>
        <v>56</v>
      </c>
      <c r="M29">
        <f t="shared" si="3"/>
        <v>6</v>
      </c>
    </row>
    <row r="30" spans="2:13" x14ac:dyDescent="0.45">
      <c r="B30" s="48" t="str">
        <f>IF(名簿!C26="","",名簿!C26 &amp; 名簿!D26)</f>
        <v>井上結衣</v>
      </c>
      <c r="C30" s="11">
        <v>85</v>
      </c>
      <c r="D30" s="11"/>
      <c r="E30" s="11"/>
      <c r="F30" s="11">
        <f t="shared" si="2"/>
        <v>85</v>
      </c>
      <c r="G30" s="11">
        <f t="shared" si="0"/>
        <v>56</v>
      </c>
      <c r="H30" s="13">
        <v>80</v>
      </c>
      <c r="I30" s="13"/>
      <c r="J30" s="13"/>
      <c r="K30" s="13">
        <f t="shared" si="4"/>
        <v>80</v>
      </c>
      <c r="L30" s="49">
        <f t="shared" si="1"/>
        <v>56</v>
      </c>
      <c r="M30">
        <f t="shared" si="3"/>
        <v>5</v>
      </c>
    </row>
    <row r="31" spans="2:13" x14ac:dyDescent="0.45">
      <c r="B31" s="48" t="str">
        <f>IF(名簿!C27="","",名簿!C27 &amp; 名簿!D27)</f>
        <v>木村学</v>
      </c>
      <c r="C31" s="11">
        <v>84</v>
      </c>
      <c r="D31" s="11"/>
      <c r="E31" s="11"/>
      <c r="F31" s="11">
        <f t="shared" si="2"/>
        <v>84</v>
      </c>
      <c r="G31" s="11">
        <f t="shared" si="0"/>
        <v>56</v>
      </c>
      <c r="H31" s="13">
        <v>80</v>
      </c>
      <c r="I31" s="13"/>
      <c r="J31" s="13"/>
      <c r="K31" s="13">
        <f t="shared" si="4"/>
        <v>80</v>
      </c>
      <c r="L31" s="49">
        <f t="shared" si="1"/>
        <v>56</v>
      </c>
      <c r="M31">
        <f t="shared" si="3"/>
        <v>4</v>
      </c>
    </row>
    <row r="32" spans="2:13" x14ac:dyDescent="0.45">
      <c r="B32" s="48" t="str">
        <f>IF(名簿!C28="","",名簿!C28 &amp; 名簿!D28)</f>
        <v>林凛</v>
      </c>
      <c r="C32" s="11">
        <v>83</v>
      </c>
      <c r="D32" s="11"/>
      <c r="E32" s="11"/>
      <c r="F32" s="11">
        <f t="shared" si="2"/>
        <v>83</v>
      </c>
      <c r="G32" s="11">
        <f t="shared" si="0"/>
        <v>55</v>
      </c>
      <c r="H32" s="13">
        <v>80</v>
      </c>
      <c r="I32" s="13"/>
      <c r="J32" s="13"/>
      <c r="K32" s="13">
        <f t="shared" si="4"/>
        <v>80</v>
      </c>
      <c r="L32" s="49">
        <f t="shared" si="1"/>
        <v>56</v>
      </c>
      <c r="M32">
        <f t="shared" si="3"/>
        <v>3</v>
      </c>
    </row>
    <row r="33" spans="2:13" x14ac:dyDescent="0.45">
      <c r="B33" s="48" t="str">
        <f>IF(名簿!C29="","",名簿!C29 &amp; 名簿!D29)</f>
        <v>斎藤翔太</v>
      </c>
      <c r="C33" s="11">
        <v>82</v>
      </c>
      <c r="D33" s="11"/>
      <c r="E33" s="11"/>
      <c r="F33" s="11">
        <f t="shared" si="2"/>
        <v>82</v>
      </c>
      <c r="G33" s="11">
        <f t="shared" si="0"/>
        <v>55</v>
      </c>
      <c r="H33" s="13">
        <v>80</v>
      </c>
      <c r="I33" s="13"/>
      <c r="J33" s="13"/>
      <c r="K33" s="13">
        <f t="shared" si="4"/>
        <v>80</v>
      </c>
      <c r="L33" s="49">
        <f t="shared" si="1"/>
        <v>56</v>
      </c>
      <c r="M33">
        <f t="shared" si="3"/>
        <v>2</v>
      </c>
    </row>
    <row r="34" spans="2:13" x14ac:dyDescent="0.45">
      <c r="B34" s="48" t="str">
        <f>IF(名簿!C30="","",名簿!C30 &amp; 名簿!D30)</f>
        <v>清水結衣</v>
      </c>
      <c r="C34" s="11">
        <v>81</v>
      </c>
      <c r="D34" s="11"/>
      <c r="E34" s="11"/>
      <c r="F34" s="11">
        <f t="shared" si="2"/>
        <v>81</v>
      </c>
      <c r="G34" s="11">
        <f t="shared" si="0"/>
        <v>55</v>
      </c>
      <c r="H34" s="13">
        <v>80</v>
      </c>
      <c r="I34" s="13"/>
      <c r="J34" s="13"/>
      <c r="K34" s="13">
        <f t="shared" si="4"/>
        <v>80</v>
      </c>
      <c r="L34" s="49">
        <f t="shared" si="1"/>
        <v>56</v>
      </c>
      <c r="M34">
        <f t="shared" si="3"/>
        <v>1</v>
      </c>
    </row>
    <row r="35" spans="2:13" x14ac:dyDescent="0.45">
      <c r="B35" s="48" t="str">
        <f>IF(名簿!C31="","",名簿!C31 &amp; 名簿!D31)</f>
        <v>山崎一郎</v>
      </c>
      <c r="C35" s="11">
        <v>80</v>
      </c>
      <c r="D35" s="11"/>
      <c r="E35" s="11"/>
      <c r="F35" s="11">
        <f t="shared" si="2"/>
        <v>80</v>
      </c>
      <c r="G35" s="11">
        <f t="shared" si="0"/>
        <v>55</v>
      </c>
      <c r="H35" s="13">
        <v>80</v>
      </c>
      <c r="I35" s="13"/>
      <c r="J35" s="13"/>
      <c r="K35" s="13">
        <f t="shared" si="4"/>
        <v>80</v>
      </c>
      <c r="L35" s="49">
        <f t="shared" si="1"/>
        <v>56</v>
      </c>
      <c r="M35">
        <f>F35-K35</f>
        <v>0</v>
      </c>
    </row>
    <row r="36" spans="2:13" x14ac:dyDescent="0.45">
      <c r="B36" s="48" t="str">
        <f>IF(名簿!C32="","",名簿!C32 &amp; 名簿!D32)</f>
        <v>森凛</v>
      </c>
      <c r="C36" s="11">
        <v>79</v>
      </c>
      <c r="D36" s="11"/>
      <c r="E36" s="11"/>
      <c r="F36" s="11">
        <f t="shared" si="2"/>
        <v>79</v>
      </c>
      <c r="G36" s="11">
        <f t="shared" si="0"/>
        <v>54</v>
      </c>
      <c r="H36" s="13">
        <v>80</v>
      </c>
      <c r="I36" s="13"/>
      <c r="J36" s="13"/>
      <c r="K36" s="13">
        <f t="shared" si="4"/>
        <v>80</v>
      </c>
      <c r="L36" s="49">
        <f t="shared" si="1"/>
        <v>56</v>
      </c>
      <c r="M36">
        <f t="shared" si="3"/>
        <v>-1</v>
      </c>
    </row>
    <row r="37" spans="2:13" x14ac:dyDescent="0.45">
      <c r="B37" s="48" t="str">
        <f>IF(名簿!C33="","",名簿!C33 &amp; 名簿!D33)</f>
        <v>池田直樹</v>
      </c>
      <c r="C37" s="11">
        <v>78</v>
      </c>
      <c r="D37" s="11"/>
      <c r="E37" s="11"/>
      <c r="F37" s="11">
        <f t="shared" si="2"/>
        <v>78</v>
      </c>
      <c r="G37" s="11">
        <f t="shared" si="0"/>
        <v>54</v>
      </c>
      <c r="H37" s="13">
        <v>80</v>
      </c>
      <c r="I37" s="13"/>
      <c r="J37" s="13"/>
      <c r="K37" s="13">
        <f t="shared" si="4"/>
        <v>80</v>
      </c>
      <c r="L37" s="49">
        <f t="shared" si="1"/>
        <v>56</v>
      </c>
      <c r="M37">
        <f t="shared" si="3"/>
        <v>-2</v>
      </c>
    </row>
    <row r="38" spans="2:13" x14ac:dyDescent="0.45">
      <c r="B38" s="48" t="str">
        <f>IF(名簿!C34="","",名簿!C34 &amp; 名簿!D34)</f>
        <v>橋本愛</v>
      </c>
      <c r="C38" s="11">
        <v>77</v>
      </c>
      <c r="D38" s="11"/>
      <c r="E38" s="11"/>
      <c r="F38" s="11">
        <f t="shared" si="2"/>
        <v>77</v>
      </c>
      <c r="G38" s="11">
        <f t="shared" si="0"/>
        <v>54</v>
      </c>
      <c r="H38" s="13">
        <v>80</v>
      </c>
      <c r="I38" s="13"/>
      <c r="J38" s="13"/>
      <c r="K38" s="13">
        <f t="shared" si="4"/>
        <v>80</v>
      </c>
      <c r="L38" s="49">
        <f t="shared" si="1"/>
        <v>56</v>
      </c>
      <c r="M38">
        <f t="shared" si="3"/>
        <v>-3</v>
      </c>
    </row>
    <row r="39" spans="2:13" x14ac:dyDescent="0.45">
      <c r="B39" s="48" t="str">
        <f>IF(名簿!C35="","",名簿!C35 &amp; 名簿!D35)</f>
        <v>阿部健太</v>
      </c>
      <c r="C39" s="11">
        <v>76</v>
      </c>
      <c r="D39" s="11"/>
      <c r="E39" s="11"/>
      <c r="F39" s="11">
        <f t="shared" si="2"/>
        <v>76</v>
      </c>
      <c r="G39" s="11">
        <f t="shared" si="0"/>
        <v>54</v>
      </c>
      <c r="H39" s="13">
        <v>80</v>
      </c>
      <c r="I39" s="13"/>
      <c r="J39" s="13"/>
      <c r="K39" s="13">
        <f t="shared" si="4"/>
        <v>80</v>
      </c>
      <c r="L39" s="49">
        <f t="shared" si="1"/>
        <v>56</v>
      </c>
      <c r="M39">
        <f t="shared" si="3"/>
        <v>-4</v>
      </c>
    </row>
    <row r="40" spans="2:13" x14ac:dyDescent="0.45">
      <c r="B40" s="48" t="str">
        <f>IF(名簿!C36="","",名簿!C36 &amp; 名簿!D36)</f>
        <v>石川陽菜</v>
      </c>
      <c r="C40" s="11">
        <v>75</v>
      </c>
      <c r="D40" s="11"/>
      <c r="E40" s="11"/>
      <c r="F40" s="11">
        <f t="shared" si="2"/>
        <v>75</v>
      </c>
      <c r="G40" s="11">
        <f t="shared" si="0"/>
        <v>53</v>
      </c>
      <c r="H40" s="13">
        <v>80</v>
      </c>
      <c r="I40" s="13"/>
      <c r="J40" s="13"/>
      <c r="K40" s="13">
        <f t="shared" si="4"/>
        <v>80</v>
      </c>
      <c r="L40" s="49">
        <f t="shared" si="1"/>
        <v>56</v>
      </c>
      <c r="M40">
        <f t="shared" si="3"/>
        <v>-5</v>
      </c>
    </row>
    <row r="41" spans="2:13" x14ac:dyDescent="0.45">
      <c r="B41" s="48" t="str">
        <f>IF(名簿!C37="","",名簿!C37 &amp; 名簿!D37)</f>
        <v>山下学</v>
      </c>
      <c r="C41" s="11">
        <v>74</v>
      </c>
      <c r="D41" s="11"/>
      <c r="E41" s="11"/>
      <c r="F41" s="11">
        <f>E41+D41+C41</f>
        <v>74</v>
      </c>
      <c r="G41" s="11">
        <f t="shared" si="0"/>
        <v>53</v>
      </c>
      <c r="H41" s="13">
        <v>80</v>
      </c>
      <c r="I41" s="13"/>
      <c r="J41" s="13"/>
      <c r="K41" s="13">
        <f t="shared" si="4"/>
        <v>80</v>
      </c>
      <c r="L41" s="49">
        <f t="shared" si="1"/>
        <v>56</v>
      </c>
      <c r="M41">
        <f t="shared" si="3"/>
        <v>-6</v>
      </c>
    </row>
    <row r="42" spans="2:13" x14ac:dyDescent="0.45">
      <c r="B42" s="48" t="str">
        <f>IF(名簿!C38="","",名簿!C38 &amp; 名簿!D38)</f>
        <v>中島凛</v>
      </c>
      <c r="C42" s="11">
        <v>73</v>
      </c>
      <c r="D42" s="11"/>
      <c r="E42" s="11"/>
      <c r="F42" s="11">
        <f>E42+D42+C42</f>
        <v>73</v>
      </c>
      <c r="G42" s="11">
        <f t="shared" ref="G42:G51" si="5">ROUND((F42-$D$3)*10/$D$4+50,0)</f>
        <v>53</v>
      </c>
      <c r="H42" s="13">
        <v>80</v>
      </c>
      <c r="I42" s="13"/>
      <c r="J42" s="13"/>
      <c r="K42" s="13">
        <f t="shared" si="4"/>
        <v>80</v>
      </c>
      <c r="L42" s="49">
        <f t="shared" si="1"/>
        <v>56</v>
      </c>
      <c r="M42">
        <f t="shared" si="3"/>
        <v>-7</v>
      </c>
    </row>
    <row r="43" spans="2:13" x14ac:dyDescent="0.45">
      <c r="B43" s="48" t="str">
        <f>IF(名簿!C39="","",名簿!C39 &amp; 名簿!D39)</f>
        <v>石井健太</v>
      </c>
      <c r="C43" s="11">
        <v>72</v>
      </c>
      <c r="D43" s="11"/>
      <c r="E43" s="11"/>
      <c r="F43" s="11">
        <f>E43+D43+C43</f>
        <v>72</v>
      </c>
      <c r="G43" s="11">
        <f t="shared" si="5"/>
        <v>53</v>
      </c>
      <c r="H43" s="13">
        <v>80</v>
      </c>
      <c r="I43" s="13"/>
      <c r="J43" s="13"/>
      <c r="K43" s="13">
        <f t="shared" si="4"/>
        <v>80</v>
      </c>
      <c r="L43" s="49">
        <f t="shared" si="1"/>
        <v>56</v>
      </c>
      <c r="M43">
        <f t="shared" si="3"/>
        <v>-8</v>
      </c>
    </row>
    <row r="44" spans="2:13" x14ac:dyDescent="0.45">
      <c r="B44" s="48" t="str">
        <f>IF(名簿!C40="","",名簿!C40 &amp; 名簿!D40)</f>
        <v>小川楓</v>
      </c>
      <c r="C44" s="11">
        <v>71</v>
      </c>
      <c r="D44" s="11"/>
      <c r="E44" s="11"/>
      <c r="F44" s="11">
        <f>E44+D44+C44</f>
        <v>71</v>
      </c>
      <c r="G44" s="11">
        <f t="shared" si="5"/>
        <v>52</v>
      </c>
      <c r="H44" s="13">
        <v>80</v>
      </c>
      <c r="I44" s="13"/>
      <c r="J44" s="13"/>
      <c r="K44" s="13">
        <f t="shared" si="4"/>
        <v>80</v>
      </c>
      <c r="L44" s="49">
        <f t="shared" si="1"/>
        <v>56</v>
      </c>
      <c r="M44">
        <f t="shared" si="3"/>
        <v>-9</v>
      </c>
    </row>
    <row r="45" spans="2:13" x14ac:dyDescent="0.45">
      <c r="B45" s="48" t="str">
        <f>IF(名簿!C41="","",名簿!C41 &amp; 名簿!D41)</f>
        <v/>
      </c>
      <c r="C45" s="11"/>
      <c r="D45" s="11"/>
      <c r="E45" s="11"/>
      <c r="F45" s="11">
        <f t="shared" si="2"/>
        <v>0</v>
      </c>
      <c r="G45" s="11">
        <f t="shared" si="5"/>
        <v>34</v>
      </c>
      <c r="H45" s="13"/>
      <c r="I45" s="13"/>
      <c r="J45" s="13"/>
      <c r="K45" s="13">
        <f t="shared" si="4"/>
        <v>0</v>
      </c>
      <c r="L45" s="49">
        <f t="shared" si="1"/>
        <v>33</v>
      </c>
      <c r="M45">
        <f t="shared" si="3"/>
        <v>0</v>
      </c>
    </row>
    <row r="46" spans="2:13" x14ac:dyDescent="0.45">
      <c r="B46" s="48" t="str">
        <f>IF(名簿!C42="","",名簿!C42 &amp; 名簿!D42)</f>
        <v/>
      </c>
      <c r="C46" s="11"/>
      <c r="D46" s="11"/>
      <c r="E46" s="11"/>
      <c r="F46" s="11">
        <f t="shared" si="2"/>
        <v>0</v>
      </c>
      <c r="G46" s="11">
        <f t="shared" si="5"/>
        <v>34</v>
      </c>
      <c r="H46" s="13"/>
      <c r="I46" s="13"/>
      <c r="J46" s="13"/>
      <c r="K46" s="13">
        <f t="shared" si="4"/>
        <v>0</v>
      </c>
      <c r="L46" s="49">
        <f t="shared" si="1"/>
        <v>33</v>
      </c>
      <c r="M46">
        <f t="shared" si="3"/>
        <v>0</v>
      </c>
    </row>
    <row r="47" spans="2:13" x14ac:dyDescent="0.45">
      <c r="B47" s="48" t="str">
        <f>IF(名簿!C43="","",名簿!C43 &amp; 名簿!D43)</f>
        <v/>
      </c>
      <c r="C47" s="11"/>
      <c r="D47" s="11"/>
      <c r="E47" s="11"/>
      <c r="F47" s="11">
        <f t="shared" si="2"/>
        <v>0</v>
      </c>
      <c r="G47" s="11">
        <f t="shared" si="5"/>
        <v>34</v>
      </c>
      <c r="H47" s="13"/>
      <c r="I47" s="13"/>
      <c r="J47" s="13"/>
      <c r="K47" s="13">
        <f t="shared" si="4"/>
        <v>0</v>
      </c>
      <c r="L47" s="49">
        <f t="shared" si="1"/>
        <v>33</v>
      </c>
      <c r="M47">
        <f t="shared" si="3"/>
        <v>0</v>
      </c>
    </row>
    <row r="48" spans="2:13" x14ac:dyDescent="0.45">
      <c r="B48" s="48" t="str">
        <f>IF(名簿!C44="","",名簿!C44 &amp; 名簿!D44)</f>
        <v/>
      </c>
      <c r="C48" s="11"/>
      <c r="D48" s="11"/>
      <c r="E48" s="11"/>
      <c r="F48" s="11">
        <f t="shared" si="2"/>
        <v>0</v>
      </c>
      <c r="G48" s="11">
        <f t="shared" si="5"/>
        <v>34</v>
      </c>
      <c r="H48" s="13"/>
      <c r="I48" s="13"/>
      <c r="J48" s="13"/>
      <c r="K48" s="13">
        <f t="shared" si="4"/>
        <v>0</v>
      </c>
      <c r="L48" s="49">
        <f t="shared" si="1"/>
        <v>33</v>
      </c>
      <c r="M48">
        <f t="shared" si="3"/>
        <v>0</v>
      </c>
    </row>
    <row r="49" spans="2:13" x14ac:dyDescent="0.45">
      <c r="B49" s="48" t="str">
        <f>IF(名簿!C45="","",名簿!C45 &amp; 名簿!D45)</f>
        <v/>
      </c>
      <c r="C49" s="11"/>
      <c r="D49" s="11"/>
      <c r="E49" s="11"/>
      <c r="F49" s="11">
        <f t="shared" si="2"/>
        <v>0</v>
      </c>
      <c r="G49" s="11">
        <f t="shared" si="5"/>
        <v>34</v>
      </c>
      <c r="H49" s="13"/>
      <c r="I49" s="13"/>
      <c r="J49" s="13"/>
      <c r="K49" s="13">
        <f t="shared" si="4"/>
        <v>0</v>
      </c>
      <c r="L49" s="49">
        <f t="shared" si="1"/>
        <v>33</v>
      </c>
      <c r="M49">
        <f t="shared" si="3"/>
        <v>0</v>
      </c>
    </row>
    <row r="50" spans="2:13" x14ac:dyDescent="0.45">
      <c r="B50" s="48" t="str">
        <f>IF(名簿!C46="","",名簿!C46 &amp; 名簿!D46)</f>
        <v/>
      </c>
      <c r="C50" s="11"/>
      <c r="D50" s="11"/>
      <c r="E50" s="11"/>
      <c r="F50" s="11">
        <f t="shared" si="2"/>
        <v>0</v>
      </c>
      <c r="G50" s="11">
        <f t="shared" si="5"/>
        <v>34</v>
      </c>
      <c r="H50" s="13"/>
      <c r="I50" s="13"/>
      <c r="J50" s="13"/>
      <c r="K50" s="13">
        <f t="shared" si="4"/>
        <v>0</v>
      </c>
      <c r="L50" s="49">
        <f t="shared" si="1"/>
        <v>33</v>
      </c>
      <c r="M50">
        <f t="shared" si="3"/>
        <v>0</v>
      </c>
    </row>
    <row r="51" spans="2:13" x14ac:dyDescent="0.45">
      <c r="B51" s="48" t="str">
        <f>IF(名簿!C47="","",名簿!C47 &amp; 名簿!D47)</f>
        <v/>
      </c>
      <c r="C51" s="11"/>
      <c r="D51" s="11"/>
      <c r="E51" s="11"/>
      <c r="F51" s="11">
        <f t="shared" si="2"/>
        <v>0</v>
      </c>
      <c r="G51" s="11">
        <f t="shared" si="5"/>
        <v>34</v>
      </c>
      <c r="H51" s="13"/>
      <c r="I51" s="13"/>
      <c r="J51" s="13"/>
      <c r="K51" s="13">
        <f t="shared" si="4"/>
        <v>0</v>
      </c>
      <c r="L51" s="49">
        <f t="shared" si="1"/>
        <v>33</v>
      </c>
      <c r="M51">
        <f t="shared" si="3"/>
        <v>0</v>
      </c>
    </row>
    <row r="52" spans="2:13" x14ac:dyDescent="0.45">
      <c r="B52" s="48" t="str">
        <f>IF(名簿!C48="","",名簿!C48 &amp; 名簿!D48)</f>
        <v/>
      </c>
      <c r="C52" s="11"/>
      <c r="D52" s="11"/>
      <c r="E52" s="11"/>
      <c r="F52" s="11">
        <f t="shared" si="2"/>
        <v>0</v>
      </c>
      <c r="G52" s="11">
        <f t="shared" si="0"/>
        <v>34</v>
      </c>
      <c r="H52" s="13"/>
      <c r="I52" s="13"/>
      <c r="J52" s="13"/>
      <c r="K52" s="13">
        <f t="shared" si="4"/>
        <v>0</v>
      </c>
      <c r="L52" s="49">
        <f t="shared" si="1"/>
        <v>33</v>
      </c>
      <c r="M52">
        <f t="shared" si="3"/>
        <v>0</v>
      </c>
    </row>
    <row r="53" spans="2:13" x14ac:dyDescent="0.45">
      <c r="B53" s="48" t="str">
        <f>IF(名簿!C49="","",名簿!C49 &amp; 名簿!D49)</f>
        <v/>
      </c>
      <c r="C53" s="11"/>
      <c r="D53" s="11"/>
      <c r="E53" s="11"/>
      <c r="F53" s="11">
        <f t="shared" si="2"/>
        <v>0</v>
      </c>
      <c r="G53" s="11">
        <f t="shared" si="0"/>
        <v>34</v>
      </c>
      <c r="H53" s="13"/>
      <c r="I53" s="13"/>
      <c r="J53" s="13"/>
      <c r="K53" s="13">
        <f t="shared" si="4"/>
        <v>0</v>
      </c>
      <c r="L53" s="49">
        <f t="shared" si="1"/>
        <v>33</v>
      </c>
      <c r="M53">
        <f t="shared" si="3"/>
        <v>0</v>
      </c>
    </row>
    <row r="54" spans="2:13" ht="18.600000000000001" thickBot="1" x14ac:dyDescent="0.5">
      <c r="B54" s="50" t="str">
        <f>IF(名簿!C50="","",名簿!C50 &amp; 名簿!D50)</f>
        <v/>
      </c>
      <c r="C54" s="51"/>
      <c r="D54" s="51"/>
      <c r="E54" s="51"/>
      <c r="F54" s="51">
        <f t="shared" si="2"/>
        <v>0</v>
      </c>
      <c r="G54" s="51">
        <f t="shared" si="0"/>
        <v>34</v>
      </c>
      <c r="H54" s="52"/>
      <c r="I54" s="52"/>
      <c r="J54" s="52"/>
      <c r="K54" s="52">
        <f t="shared" si="4"/>
        <v>0</v>
      </c>
      <c r="L54" s="53">
        <f t="shared" si="1"/>
        <v>33</v>
      </c>
      <c r="M54">
        <f t="shared" si="3"/>
        <v>0</v>
      </c>
    </row>
    <row r="55" spans="2:13" x14ac:dyDescent="0.45">
      <c r="L55" t="s">
        <v>38</v>
      </c>
      <c r="M55">
        <f>_xlfn.VAR.P(M15:M54)</f>
        <v>231.41</v>
      </c>
    </row>
    <row r="56" spans="2:13" x14ac:dyDescent="0.45">
      <c r="L56" t="s">
        <v>42</v>
      </c>
      <c r="M56">
        <f>AVERAGE(M15:M54)</f>
        <v>1.8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22860</xdr:colOff>
                    <xdr:row>1</xdr:row>
                    <xdr:rowOff>0</xdr:rowOff>
                  </from>
                  <to>
                    <xdr:col>1</xdr:col>
                    <xdr:colOff>754380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A5" sqref="A5"/>
    </sheetView>
  </sheetViews>
  <sheetFormatPr defaultRowHeight="18" x14ac:dyDescent="0.45"/>
  <cols>
    <col min="1" max="2" width="8.796875" style="113"/>
    <col min="3" max="3" width="10.09765625" style="113" customWidth="1"/>
    <col min="4" max="4" width="25.8984375" style="113" customWidth="1"/>
    <col min="5" max="16384" width="8.796875" style="113"/>
  </cols>
  <sheetData>
    <row r="1" spans="1:9" ht="61.5" customHeight="1" x14ac:dyDescent="0.45"/>
    <row r="2" spans="1:9" s="205" customFormat="1" x14ac:dyDescent="0.45">
      <c r="A2" s="205" t="s">
        <v>11</v>
      </c>
      <c r="B2" s="205" t="s">
        <v>0</v>
      </c>
      <c r="C2" s="205" t="s">
        <v>13</v>
      </c>
      <c r="D2" s="205" t="s">
        <v>2</v>
      </c>
      <c r="E2" s="205" t="s">
        <v>5</v>
      </c>
      <c r="F2" s="205" t="s">
        <v>64</v>
      </c>
      <c r="H2" s="205" t="s">
        <v>45</v>
      </c>
      <c r="I2" s="205" t="s">
        <v>46</v>
      </c>
    </row>
    <row r="3" spans="1:9" x14ac:dyDescent="0.45">
      <c r="A3" s="223" t="s">
        <v>211</v>
      </c>
      <c r="B3" s="223" t="s">
        <v>145</v>
      </c>
      <c r="C3" s="224">
        <v>0</v>
      </c>
      <c r="D3" s="155" t="s">
        <v>220</v>
      </c>
      <c r="E3" s="155" t="s">
        <v>223</v>
      </c>
      <c r="F3" s="155" t="s">
        <v>66</v>
      </c>
      <c r="H3" s="155">
        <v>90</v>
      </c>
      <c r="I3" s="155">
        <v>70</v>
      </c>
    </row>
    <row r="4" spans="1:9" x14ac:dyDescent="0.45">
      <c r="A4" s="223" t="s">
        <v>212</v>
      </c>
      <c r="B4" s="223" t="s">
        <v>151</v>
      </c>
      <c r="C4" s="224">
        <v>0</v>
      </c>
      <c r="D4" s="155" t="s">
        <v>221</v>
      </c>
      <c r="F4" s="156" t="s">
        <v>181</v>
      </c>
      <c r="H4" s="155">
        <v>95</v>
      </c>
      <c r="I4" s="155">
        <v>75</v>
      </c>
    </row>
    <row r="5" spans="1:9" x14ac:dyDescent="0.45">
      <c r="A5" s="223" t="s">
        <v>218</v>
      </c>
      <c r="B5" s="223" t="s">
        <v>219</v>
      </c>
      <c r="C5" s="224">
        <v>0</v>
      </c>
      <c r="D5" s="155" t="s">
        <v>222</v>
      </c>
      <c r="F5" s="155"/>
      <c r="H5" s="155">
        <v>85</v>
      </c>
      <c r="I5" s="155">
        <v>65</v>
      </c>
    </row>
    <row r="6" spans="1:9" x14ac:dyDescent="0.45">
      <c r="A6" s="223"/>
      <c r="B6" s="223"/>
      <c r="C6" s="224"/>
      <c r="D6" s="155"/>
      <c r="F6" s="155"/>
      <c r="H6" s="155"/>
      <c r="I6" s="155"/>
    </row>
    <row r="7" spans="1:9" x14ac:dyDescent="0.45">
      <c r="A7" s="223"/>
      <c r="B7" s="223"/>
      <c r="C7" s="224"/>
      <c r="D7" s="155"/>
      <c r="F7" s="155"/>
      <c r="H7" s="155"/>
      <c r="I7" s="155"/>
    </row>
    <row r="8" spans="1:9" x14ac:dyDescent="0.45">
      <c r="A8" s="223"/>
      <c r="B8" s="223"/>
      <c r="C8" s="224"/>
      <c r="D8" s="155"/>
      <c r="F8" s="155"/>
      <c r="H8" s="155"/>
      <c r="I8" s="155"/>
    </row>
    <row r="9" spans="1:9" x14ac:dyDescent="0.45">
      <c r="A9" s="223"/>
      <c r="B9" s="223"/>
      <c r="C9" s="224"/>
      <c r="D9" s="155"/>
      <c r="F9" s="155"/>
      <c r="H9" s="155"/>
      <c r="I9" s="155"/>
    </row>
    <row r="10" spans="1:9" x14ac:dyDescent="0.45">
      <c r="A10" s="223"/>
      <c r="B10" s="223"/>
      <c r="C10" s="224"/>
      <c r="D10" s="155"/>
      <c r="F10" s="155"/>
      <c r="H10" s="155"/>
      <c r="I10" s="155"/>
    </row>
    <row r="11" spans="1:9" x14ac:dyDescent="0.45">
      <c r="A11" s="223"/>
      <c r="B11" s="223"/>
      <c r="C11" s="224"/>
      <c r="D11" s="155"/>
      <c r="F11" s="155"/>
      <c r="H11" s="155"/>
      <c r="I11" s="155"/>
    </row>
    <row r="12" spans="1:9" x14ac:dyDescent="0.45">
      <c r="A12" s="223"/>
      <c r="B12" s="223"/>
      <c r="C12" s="224"/>
      <c r="D12" s="155"/>
      <c r="F12" s="155"/>
      <c r="H12" s="155"/>
      <c r="I12" s="155"/>
    </row>
    <row r="13" spans="1:9" x14ac:dyDescent="0.45">
      <c r="A13" s="223"/>
      <c r="B13" s="223"/>
      <c r="C13" s="224"/>
      <c r="D13" s="155"/>
      <c r="F13" s="155"/>
      <c r="H13" s="155"/>
      <c r="I13" s="155"/>
    </row>
    <row r="14" spans="1:9" x14ac:dyDescent="0.45">
      <c r="A14" s="223"/>
      <c r="B14" s="223"/>
      <c r="C14" s="224"/>
      <c r="D14" s="155"/>
      <c r="F14" s="155"/>
      <c r="H14" s="155"/>
      <c r="I14" s="155"/>
    </row>
    <row r="15" spans="1:9" x14ac:dyDescent="0.45">
      <c r="A15" s="223"/>
      <c r="B15" s="223"/>
      <c r="C15" s="224"/>
      <c r="D15" s="155"/>
      <c r="F15" s="155"/>
      <c r="H15" s="155"/>
      <c r="I15" s="155"/>
    </row>
    <row r="16" spans="1:9" x14ac:dyDescent="0.45">
      <c r="A16" s="223"/>
      <c r="B16" s="223"/>
      <c r="C16" s="224"/>
      <c r="D16" s="155"/>
      <c r="F16" s="155"/>
      <c r="H16" s="155"/>
      <c r="I16" s="155"/>
    </row>
    <row r="17" spans="1:9" x14ac:dyDescent="0.45">
      <c r="A17" s="224"/>
      <c r="B17" s="224"/>
      <c r="C17" s="224"/>
      <c r="H17" s="155"/>
      <c r="I17" s="155"/>
    </row>
    <row r="18" spans="1:9" x14ac:dyDescent="0.45">
      <c r="A18" s="224"/>
      <c r="B18" s="224"/>
      <c r="C18" s="224"/>
      <c r="H18" s="155"/>
      <c r="I18" s="155"/>
    </row>
    <row r="19" spans="1:9" x14ac:dyDescent="0.45">
      <c r="A19" s="224"/>
      <c r="B19" s="224"/>
      <c r="C19" s="224"/>
      <c r="H19" s="155"/>
      <c r="I19" s="155"/>
    </row>
    <row r="20" spans="1:9" x14ac:dyDescent="0.45">
      <c r="A20" s="224"/>
      <c r="B20" s="224"/>
      <c r="C20" s="224"/>
      <c r="H20" s="155"/>
      <c r="I20" s="155"/>
    </row>
    <row r="21" spans="1:9" x14ac:dyDescent="0.45">
      <c r="H21" s="155"/>
      <c r="I21" s="155"/>
    </row>
    <row r="22" spans="1:9" x14ac:dyDescent="0.45">
      <c r="H22" s="155"/>
      <c r="I22" s="155"/>
    </row>
    <row r="23" spans="1:9" x14ac:dyDescent="0.45">
      <c r="H23" s="155"/>
      <c r="I23" s="155"/>
    </row>
    <row r="24" spans="1:9" x14ac:dyDescent="0.45">
      <c r="H24" s="155"/>
      <c r="I24" s="155"/>
    </row>
    <row r="25" spans="1:9" x14ac:dyDescent="0.45">
      <c r="H25" s="155"/>
      <c r="I25" s="155"/>
    </row>
    <row r="26" spans="1:9" x14ac:dyDescent="0.45">
      <c r="H26" s="155"/>
      <c r="I26" s="155"/>
    </row>
    <row r="27" spans="1:9" x14ac:dyDescent="0.45">
      <c r="H27" s="155"/>
      <c r="I27" s="155"/>
    </row>
    <row r="28" spans="1:9" x14ac:dyDescent="0.45">
      <c r="H28" s="155"/>
      <c r="I28" s="155"/>
    </row>
    <row r="29" spans="1:9" x14ac:dyDescent="0.45">
      <c r="H29" s="155"/>
      <c r="I29" s="155"/>
    </row>
    <row r="30" spans="1:9" x14ac:dyDescent="0.45">
      <c r="H30" s="155"/>
      <c r="I30" s="155"/>
    </row>
    <row r="31" spans="1:9" x14ac:dyDescent="0.45">
      <c r="H31" s="155"/>
      <c r="I31" s="155"/>
    </row>
    <row r="32" spans="1:9" x14ac:dyDescent="0.45">
      <c r="H32" s="155"/>
      <c r="I32" s="155"/>
    </row>
  </sheetData>
  <sheetProtection algorithmName="SHA-512" hashValue="Hk5rCxnbQ9ePIF92c2L9T6nf5ZO7Zl6VC3lxJJX2SUG6Kv7K0uPx6s8ZjZ8gkO9q9+XEw1vSMVYnZ2I0U/WCtw==" saltValue="5WbiPmgOcFJqdfknZ8voHQ==" spinCount="100000" sheet="1" objects="1"/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>
    <tabColor rgb="FFFFC000"/>
  </sheetPr>
  <dimension ref="A1:J3"/>
  <sheetViews>
    <sheetView workbookViewId="0">
      <selection activeCell="G17" sqref="G17"/>
    </sheetView>
  </sheetViews>
  <sheetFormatPr defaultRowHeight="18" x14ac:dyDescent="0.45"/>
  <cols>
    <col min="7" max="7" width="41.5" customWidth="1"/>
  </cols>
  <sheetData>
    <row r="1" spans="1:10" ht="32.4" x14ac:dyDescent="0.45">
      <c r="A1" s="136" t="s">
        <v>155</v>
      </c>
      <c r="B1" s="135"/>
      <c r="C1" s="135"/>
      <c r="D1" s="135"/>
      <c r="E1" s="135"/>
      <c r="F1" s="135"/>
      <c r="G1" s="135"/>
    </row>
    <row r="2" spans="1:10" ht="24" customHeight="1" x14ac:dyDescent="0.45">
      <c r="A2" t="s">
        <v>185</v>
      </c>
    </row>
    <row r="3" spans="1:10" x14ac:dyDescent="0.45">
      <c r="A3" s="137" t="s">
        <v>73</v>
      </c>
      <c r="B3" s="137" t="s">
        <v>0</v>
      </c>
      <c r="C3" s="137" t="s">
        <v>80</v>
      </c>
      <c r="D3" s="137" t="s">
        <v>2</v>
      </c>
      <c r="E3" s="137" t="s">
        <v>156</v>
      </c>
      <c r="F3" s="137" t="s">
        <v>157</v>
      </c>
      <c r="G3" s="137" t="s">
        <v>80</v>
      </c>
      <c r="H3" s="138"/>
      <c r="I3" s="138"/>
      <c r="J3" s="1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6</xdr:col>
                    <xdr:colOff>2141220</xdr:colOff>
                    <xdr:row>0</xdr:row>
                    <xdr:rowOff>7620</xdr:rowOff>
                  </from>
                  <to>
                    <xdr:col>7</xdr:col>
                    <xdr:colOff>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I21" sqref="I21"/>
    </sheetView>
  </sheetViews>
  <sheetFormatPr defaultColWidth="9" defaultRowHeight="16.2" x14ac:dyDescent="0.45"/>
  <cols>
    <col min="1" max="1" width="12.59765625" style="75" customWidth="1"/>
    <col min="2" max="3" width="8.59765625" style="75" customWidth="1"/>
    <col min="4" max="4" width="10.59765625" style="75" customWidth="1"/>
    <col min="5" max="5" width="12.59765625" style="75" customWidth="1"/>
    <col min="6" max="6" width="9" style="75"/>
    <col min="7" max="7" width="10.3984375" style="75" customWidth="1"/>
    <col min="8" max="16384" width="9" style="75"/>
  </cols>
  <sheetData>
    <row r="1" spans="1:8" ht="22.2" x14ac:dyDescent="0.45">
      <c r="A1" s="88" t="s">
        <v>158</v>
      </c>
      <c r="B1" s="76"/>
      <c r="C1" s="76"/>
      <c r="D1" s="76"/>
      <c r="E1" s="76"/>
      <c r="F1" s="76"/>
      <c r="G1" s="76"/>
      <c r="H1" s="76"/>
    </row>
    <row r="2" spans="1:8" ht="57" customHeight="1" x14ac:dyDescent="0.45"/>
    <row r="3" spans="1:8" x14ac:dyDescent="0.45">
      <c r="A3" s="99" t="s">
        <v>159</v>
      </c>
      <c r="B3" s="90"/>
      <c r="D3" s="99" t="s">
        <v>3</v>
      </c>
      <c r="G3" s="91" t="s">
        <v>167</v>
      </c>
      <c r="H3" s="100"/>
    </row>
    <row r="4" spans="1:8" x14ac:dyDescent="0.45">
      <c r="A4" s="99" t="s">
        <v>0</v>
      </c>
      <c r="B4" s="90"/>
      <c r="D4" s="99" t="s">
        <v>165</v>
      </c>
      <c r="G4" s="91" t="s">
        <v>168</v>
      </c>
      <c r="H4" s="100"/>
    </row>
    <row r="5" spans="1:8" x14ac:dyDescent="0.45">
      <c r="A5" s="99" t="s">
        <v>80</v>
      </c>
      <c r="B5" s="90"/>
      <c r="D5" s="99" t="s">
        <v>160</v>
      </c>
    </row>
    <row r="6" spans="1:8" x14ac:dyDescent="0.45">
      <c r="A6" s="99" t="s">
        <v>2</v>
      </c>
      <c r="B6" s="90"/>
      <c r="D6" s="99" t="str">
        <f>IF(E5="内分点","内分比","")</f>
        <v/>
      </c>
    </row>
    <row r="7" spans="1:8" x14ac:dyDescent="0.45">
      <c r="A7" s="99" t="s">
        <v>65</v>
      </c>
      <c r="B7" s="90"/>
      <c r="D7" s="99" t="s">
        <v>156</v>
      </c>
      <c r="E7" s="75" t="s">
        <v>161</v>
      </c>
    </row>
    <row r="10" spans="1:8" s="98" customFormat="1" x14ac:dyDescent="0.45">
      <c r="A10" s="78" t="s">
        <v>73</v>
      </c>
      <c r="B10" s="78" t="s">
        <v>74</v>
      </c>
      <c r="C10" s="78" t="s">
        <v>75</v>
      </c>
      <c r="D10" s="78" t="s">
        <v>162</v>
      </c>
      <c r="E10" s="78" t="s">
        <v>163</v>
      </c>
      <c r="F10" s="78" t="s">
        <v>164</v>
      </c>
      <c r="G10" s="78" t="s">
        <v>166</v>
      </c>
      <c r="H10" s="78"/>
    </row>
    <row r="11" spans="1:8" x14ac:dyDescent="0.45">
      <c r="G11" s="75" t="str">
        <f>IF($E$4="","",IF(F11&gt;=$E$4,"合格",""))</f>
        <v/>
      </c>
    </row>
    <row r="12" spans="1:8" x14ac:dyDescent="0.45">
      <c r="G12" s="75" t="str">
        <f t="shared" ref="G12:G40" si="0">IF($E$4="","",IF(F12&gt;=$E$4,"合格",""))</f>
        <v/>
      </c>
    </row>
    <row r="13" spans="1:8" x14ac:dyDescent="0.45">
      <c r="G13" s="75" t="str">
        <f t="shared" si="0"/>
        <v/>
      </c>
    </row>
    <row r="14" spans="1:8" x14ac:dyDescent="0.45">
      <c r="G14" s="75" t="str">
        <f t="shared" si="0"/>
        <v/>
      </c>
    </row>
    <row r="15" spans="1:8" x14ac:dyDescent="0.45">
      <c r="G15" s="75" t="str">
        <f t="shared" si="0"/>
        <v/>
      </c>
    </row>
    <row r="16" spans="1:8" x14ac:dyDescent="0.45">
      <c r="G16" s="75" t="str">
        <f t="shared" si="0"/>
        <v/>
      </c>
    </row>
    <row r="17" spans="7:7" x14ac:dyDescent="0.45">
      <c r="G17" s="75" t="str">
        <f t="shared" si="0"/>
        <v/>
      </c>
    </row>
    <row r="18" spans="7:7" x14ac:dyDescent="0.45">
      <c r="G18" s="75" t="str">
        <f t="shared" si="0"/>
        <v/>
      </c>
    </row>
    <row r="19" spans="7:7" x14ac:dyDescent="0.45">
      <c r="G19" s="75" t="str">
        <f t="shared" si="0"/>
        <v/>
      </c>
    </row>
    <row r="20" spans="7:7" x14ac:dyDescent="0.45">
      <c r="G20" s="75" t="str">
        <f t="shared" si="0"/>
        <v/>
      </c>
    </row>
    <row r="21" spans="7:7" x14ac:dyDescent="0.45">
      <c r="G21" s="75" t="str">
        <f t="shared" si="0"/>
        <v/>
      </c>
    </row>
    <row r="22" spans="7:7" x14ac:dyDescent="0.45">
      <c r="G22" s="75" t="str">
        <f t="shared" si="0"/>
        <v/>
      </c>
    </row>
    <row r="23" spans="7:7" x14ac:dyDescent="0.45">
      <c r="G23" s="75" t="str">
        <f t="shared" si="0"/>
        <v/>
      </c>
    </row>
    <row r="24" spans="7:7" x14ac:dyDescent="0.45">
      <c r="G24" s="75" t="str">
        <f t="shared" si="0"/>
        <v/>
      </c>
    </row>
    <row r="25" spans="7:7" x14ac:dyDescent="0.45">
      <c r="G25" s="75" t="str">
        <f t="shared" si="0"/>
        <v/>
      </c>
    </row>
    <row r="26" spans="7:7" x14ac:dyDescent="0.45">
      <c r="G26" s="75" t="str">
        <f t="shared" si="0"/>
        <v/>
      </c>
    </row>
    <row r="27" spans="7:7" x14ac:dyDescent="0.45">
      <c r="G27" s="75" t="str">
        <f t="shared" si="0"/>
        <v/>
      </c>
    </row>
    <row r="28" spans="7:7" x14ac:dyDescent="0.45">
      <c r="G28" s="75" t="str">
        <f t="shared" si="0"/>
        <v/>
      </c>
    </row>
    <row r="29" spans="7:7" x14ac:dyDescent="0.45">
      <c r="G29" s="75" t="str">
        <f t="shared" si="0"/>
        <v/>
      </c>
    </row>
    <row r="30" spans="7:7" x14ac:dyDescent="0.45">
      <c r="G30" s="75" t="str">
        <f t="shared" si="0"/>
        <v/>
      </c>
    </row>
    <row r="31" spans="7:7" x14ac:dyDescent="0.45">
      <c r="G31" s="75" t="str">
        <f t="shared" si="0"/>
        <v/>
      </c>
    </row>
    <row r="32" spans="7:7" x14ac:dyDescent="0.45">
      <c r="G32" s="75" t="str">
        <f t="shared" si="0"/>
        <v/>
      </c>
    </row>
    <row r="33" spans="7:7" x14ac:dyDescent="0.45">
      <c r="G33" s="75" t="str">
        <f t="shared" si="0"/>
        <v/>
      </c>
    </row>
    <row r="34" spans="7:7" x14ac:dyDescent="0.45">
      <c r="G34" s="75" t="str">
        <f t="shared" si="0"/>
        <v/>
      </c>
    </row>
    <row r="35" spans="7:7" x14ac:dyDescent="0.45">
      <c r="G35" s="75" t="str">
        <f t="shared" si="0"/>
        <v/>
      </c>
    </row>
    <row r="36" spans="7:7" x14ac:dyDescent="0.45">
      <c r="G36" s="75" t="str">
        <f t="shared" si="0"/>
        <v/>
      </c>
    </row>
    <row r="37" spans="7:7" x14ac:dyDescent="0.45">
      <c r="G37" s="75" t="str">
        <f t="shared" si="0"/>
        <v/>
      </c>
    </row>
    <row r="38" spans="7:7" x14ac:dyDescent="0.45">
      <c r="G38" s="75" t="str">
        <f t="shared" si="0"/>
        <v/>
      </c>
    </row>
    <row r="39" spans="7:7" x14ac:dyDescent="0.45">
      <c r="G39" s="75" t="str">
        <f t="shared" si="0"/>
        <v/>
      </c>
    </row>
    <row r="40" spans="7:7" x14ac:dyDescent="0.45">
      <c r="G40" s="75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60960</xdr:colOff>
                    <xdr:row>1</xdr:row>
                    <xdr:rowOff>160020</xdr:rowOff>
                  </from>
                  <to>
                    <xdr:col>2</xdr:col>
                    <xdr:colOff>144780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274320</xdr:colOff>
                    <xdr:row>1</xdr:row>
                    <xdr:rowOff>160020</xdr:rowOff>
                  </from>
                  <to>
                    <xdr:col>4</xdr:col>
                    <xdr:colOff>297180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160020</xdr:rowOff>
                  </from>
                  <to>
                    <xdr:col>6</xdr:col>
                    <xdr:colOff>403860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678180</xdr:colOff>
                    <xdr:row>4</xdr:row>
                    <xdr:rowOff>0</xdr:rowOff>
                  </from>
                  <to>
                    <xdr:col>3</xdr:col>
                    <xdr:colOff>678180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MENU</vt:lpstr>
      <vt:lpstr>名簿</vt:lpstr>
      <vt:lpstr>テスト入力</vt:lpstr>
      <vt:lpstr>データ</vt:lpstr>
      <vt:lpstr>Subject</vt:lpstr>
      <vt:lpstr>Result</vt:lpstr>
      <vt:lpstr>比較分析</vt:lpstr>
      <vt:lpstr>Setting</vt:lpstr>
      <vt:lpstr>Subject!Print_Area</vt:lpstr>
      <vt:lpstr>Result!Print_Titles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2026-03-22T01:33:00Z</dcterms:modified>
</cp:coreProperties>
</file>