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1289B0C1-9A64-4FEC-87F6-EA84FBF3BB3B}" xr6:coauthVersionLast="47" xr6:coauthVersionMax="47" xr10:uidLastSave="{00000000-0000-0000-0000-000000000000}"/>
  <bookViews>
    <workbookView xWindow="-120" yWindow="-120" windowWidth="29040" windowHeight="15720" tabRatio="816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比較分析" sheetId="7" r:id="rId7"/>
    <sheet name="Setting" sheetId="3" r:id="rId8"/>
    <sheet name="追試管理メニュー" sheetId="11" r:id="rId9"/>
    <sheet name="追試管理シート" sheetId="12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比較分析!$C$15:$C$54</definedName>
    <definedName name="_xlchart.v1.1" hidden="1">比較分析!$D$15:$D$54</definedName>
    <definedName name="_xlchart.v1.2" hidden="1">比較分析!$E$15:$E$54</definedName>
    <definedName name="_xlchart.v1.3" hidden="1">比較分析!$H$15:$H$54</definedName>
    <definedName name="_xlchart.v1.4" hidden="1">比較分析!$I$15:$I$54</definedName>
    <definedName name="_xlchart.v1.5" hidden="1">比較分析!$J$14:$J$54</definedName>
    <definedName name="_xlchart.v1.6" hidden="1">比較分析!$F$15:$F$54</definedName>
    <definedName name="_xlchart.v1.7" hidden="1">比較分析!$K$15:$K$54</definedName>
    <definedName name="_xlnm.Print_Area" localSheetId="4">Subject!$A$1:$J$48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7" l="1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15" i="7"/>
  <c r="F44" i="7"/>
  <c r="F43" i="7"/>
  <c r="F42" i="7"/>
  <c r="F41" i="7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A12" i="8"/>
  <c r="B12" i="8"/>
  <c r="C12" i="8"/>
  <c r="A13" i="8"/>
  <c r="B13" i="8"/>
  <c r="C13" i="8"/>
  <c r="A14" i="8"/>
  <c r="B14" i="8"/>
  <c r="C14" i="8"/>
  <c r="A15" i="8"/>
  <c r="B15" i="8"/>
  <c r="C15" i="8"/>
  <c r="A16" i="8"/>
  <c r="B16" i="8"/>
  <c r="C16" i="8"/>
  <c r="A17" i="8"/>
  <c r="B17" i="8"/>
  <c r="C17" i="8"/>
  <c r="A18" i="8"/>
  <c r="B18" i="8"/>
  <c r="C18" i="8"/>
  <c r="A19" i="8"/>
  <c r="B19" i="8"/>
  <c r="C19" i="8"/>
  <c r="A20" i="8"/>
  <c r="B20" i="8"/>
  <c r="C20" i="8"/>
  <c r="A21" i="8"/>
  <c r="B21" i="8"/>
  <c r="C21" i="8"/>
  <c r="A22" i="8"/>
  <c r="B22" i="8"/>
  <c r="C22" i="8"/>
  <c r="A23" i="8"/>
  <c r="B23" i="8"/>
  <c r="C23" i="8"/>
  <c r="A24" i="8"/>
  <c r="B24" i="8"/>
  <c r="C24" i="8"/>
  <c r="A25" i="8"/>
  <c r="B25" i="8"/>
  <c r="C25" i="8"/>
  <c r="A26" i="8"/>
  <c r="B26" i="8"/>
  <c r="C26" i="8"/>
  <c r="A27" i="8"/>
  <c r="B27" i="8"/>
  <c r="C27" i="8"/>
  <c r="A28" i="8"/>
  <c r="B28" i="8"/>
  <c r="C28" i="8"/>
  <c r="A29" i="8"/>
  <c r="B29" i="8"/>
  <c r="C29" i="8"/>
  <c r="A30" i="8"/>
  <c r="B30" i="8"/>
  <c r="C30" i="8"/>
  <c r="A31" i="8"/>
  <c r="B31" i="8"/>
  <c r="C31" i="8"/>
  <c r="A32" i="8"/>
  <c r="B32" i="8"/>
  <c r="C32" i="8"/>
  <c r="A33" i="8"/>
  <c r="B33" i="8"/>
  <c r="C33" i="8"/>
  <c r="A34" i="8"/>
  <c r="B34" i="8"/>
  <c r="C34" i="8"/>
  <c r="A35" i="8"/>
  <c r="B35" i="8"/>
  <c r="C35" i="8"/>
  <c r="A36" i="8"/>
  <c r="B36" i="8"/>
  <c r="C36" i="8"/>
  <c r="A37" i="8"/>
  <c r="B37" i="8"/>
  <c r="C37" i="8"/>
  <c r="A38" i="8"/>
  <c r="B38" i="8"/>
  <c r="C38" i="8"/>
  <c r="A39" i="8"/>
  <c r="B39" i="8"/>
  <c r="C39" i="8"/>
  <c r="A40" i="8"/>
  <c r="B40" i="8"/>
  <c r="C40" i="8"/>
  <c r="A41" i="8"/>
  <c r="B41" i="8"/>
  <c r="C41" i="8"/>
  <c r="A42" i="8"/>
  <c r="B42" i="8"/>
  <c r="C42" i="8"/>
  <c r="A43" i="8"/>
  <c r="B43" i="8"/>
  <c r="C43" i="8"/>
  <c r="A44" i="8"/>
  <c r="B44" i="8"/>
  <c r="C44" i="8"/>
  <c r="A45" i="8"/>
  <c r="B45" i="8"/>
  <c r="C45" i="8"/>
  <c r="A46" i="8"/>
  <c r="B46" i="8"/>
  <c r="C46" i="8"/>
  <c r="A47" i="8"/>
  <c r="B47" i="8"/>
  <c r="C47" i="8"/>
  <c r="A48" i="8"/>
  <c r="B48" i="8"/>
  <c r="C48" i="8"/>
  <c r="A49" i="8"/>
  <c r="B49" i="8"/>
  <c r="C49" i="8"/>
  <c r="A50" i="8"/>
  <c r="B50" i="8"/>
  <c r="C50" i="8"/>
  <c r="B11" i="8"/>
  <c r="C11" i="8"/>
  <c r="A11" i="8"/>
  <c r="A23" i="6"/>
  <c r="A53" i="6"/>
  <c r="B53" i="6"/>
  <c r="C53" i="6"/>
  <c r="A54" i="6"/>
  <c r="B54" i="6"/>
  <c r="C54" i="6"/>
  <c r="A55" i="6"/>
  <c r="B55" i="6"/>
  <c r="C55" i="6"/>
  <c r="A56" i="6"/>
  <c r="B56" i="6"/>
  <c r="C56" i="6"/>
  <c r="A57" i="6"/>
  <c r="B57" i="6"/>
  <c r="C57" i="6"/>
  <c r="A58" i="6"/>
  <c r="B58" i="6"/>
  <c r="C58" i="6"/>
  <c r="A59" i="6"/>
  <c r="B59" i="6"/>
  <c r="C59" i="6"/>
  <c r="A60" i="6"/>
  <c r="B60" i="6"/>
  <c r="C60" i="6"/>
  <c r="A61" i="6"/>
  <c r="B61" i="6"/>
  <c r="C61" i="6"/>
  <c r="A62" i="6"/>
  <c r="B62" i="6"/>
  <c r="C62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A51" i="6"/>
  <c r="B51" i="6"/>
  <c r="C51" i="6"/>
  <c r="A52" i="6"/>
  <c r="B52" i="6"/>
  <c r="C52" i="6"/>
  <c r="C23" i="6"/>
  <c r="B23" i="6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B28" i="10"/>
  <c r="C28" i="10"/>
  <c r="A29" i="10"/>
  <c r="B29" i="10"/>
  <c r="C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B39" i="10"/>
  <c r="C39" i="10"/>
  <c r="A40" i="10"/>
  <c r="B40" i="10"/>
  <c r="C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47" i="10"/>
  <c r="B47" i="10"/>
  <c r="C47" i="10"/>
  <c r="A48" i="10"/>
  <c r="B48" i="10"/>
  <c r="C48" i="10"/>
  <c r="A49" i="10"/>
  <c r="B49" i="10"/>
  <c r="C49" i="10"/>
  <c r="A50" i="10"/>
  <c r="B50" i="10"/>
  <c r="C50" i="10"/>
  <c r="A51" i="10"/>
  <c r="B51" i="10"/>
  <c r="C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B61" i="10"/>
  <c r="C61" i="10"/>
  <c r="A62" i="10"/>
  <c r="B62" i="10"/>
  <c r="C62" i="10"/>
  <c r="B23" i="10"/>
  <c r="C23" i="10"/>
  <c r="A23" i="10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C31" i="9"/>
  <c r="B31" i="9"/>
  <c r="F8" i="4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E6" i="3"/>
  <c r="E5" i="3"/>
  <c r="E4" i="3"/>
  <c r="M54" i="7"/>
  <c r="K54" i="7"/>
  <c r="F54" i="7"/>
  <c r="K53" i="7"/>
  <c r="F53" i="7"/>
  <c r="K52" i="7"/>
  <c r="M52" i="7" s="1"/>
  <c r="F52" i="7"/>
  <c r="K51" i="7"/>
  <c r="F51" i="7"/>
  <c r="K50" i="7"/>
  <c r="F50" i="7"/>
  <c r="M50" i="7" s="1"/>
  <c r="K49" i="7"/>
  <c r="F49" i="7"/>
  <c r="M49" i="7" s="1"/>
  <c r="K48" i="7"/>
  <c r="F48" i="7"/>
  <c r="M48" i="7" s="1"/>
  <c r="K47" i="7"/>
  <c r="F47" i="7"/>
  <c r="M47" i="7" s="1"/>
  <c r="K46" i="7"/>
  <c r="F46" i="7"/>
  <c r="M46" i="7" s="1"/>
  <c r="M45" i="7"/>
  <c r="K45" i="7"/>
  <c r="F45" i="7"/>
  <c r="K44" i="7"/>
  <c r="K43" i="7"/>
  <c r="K42" i="7"/>
  <c r="K41" i="7"/>
  <c r="K40" i="7"/>
  <c r="F40" i="7"/>
  <c r="K39" i="7"/>
  <c r="F39" i="7"/>
  <c r="K38" i="7"/>
  <c r="F38" i="7"/>
  <c r="K37" i="7"/>
  <c r="F37" i="7"/>
  <c r="K36" i="7"/>
  <c r="F36" i="7"/>
  <c r="K35" i="7"/>
  <c r="F35" i="7"/>
  <c r="M35" i="7" s="1"/>
  <c r="K34" i="7"/>
  <c r="F34" i="7"/>
  <c r="K33" i="7"/>
  <c r="F33" i="7"/>
  <c r="K32" i="7"/>
  <c r="F32" i="7"/>
  <c r="K31" i="7"/>
  <c r="F31" i="7"/>
  <c r="K30" i="7"/>
  <c r="F30" i="7"/>
  <c r="K29" i="7"/>
  <c r="F29" i="7"/>
  <c r="K28" i="7"/>
  <c r="F28" i="7"/>
  <c r="M28" i="7" s="1"/>
  <c r="K27" i="7"/>
  <c r="F27" i="7"/>
  <c r="K26" i="7"/>
  <c r="F26" i="7"/>
  <c r="K25" i="7"/>
  <c r="F25" i="7"/>
  <c r="K24" i="7"/>
  <c r="F24" i="7"/>
  <c r="K23" i="7"/>
  <c r="F23" i="7"/>
  <c r="K22" i="7"/>
  <c r="F22" i="7"/>
  <c r="K21" i="7"/>
  <c r="F21" i="7"/>
  <c r="K20" i="7"/>
  <c r="F20" i="7"/>
  <c r="K19" i="7"/>
  <c r="F19" i="7"/>
  <c r="K18" i="7"/>
  <c r="F18" i="7"/>
  <c r="K17" i="7"/>
  <c r="F17" i="7"/>
  <c r="K16" i="7"/>
  <c r="F16" i="7"/>
  <c r="K15" i="7"/>
  <c r="F15" i="7"/>
  <c r="K14" i="7"/>
  <c r="F14" i="7"/>
  <c r="G24" i="9" a="1"/>
  <c r="G24" i="9" s="1"/>
  <c r="F24" i="9" a="1"/>
  <c r="F24" i="9" s="1"/>
  <c r="E24" i="9" a="1"/>
  <c r="E24" i="9" s="1"/>
  <c r="N16" i="9"/>
  <c r="N14" i="9"/>
  <c r="N12" i="9"/>
  <c r="D24" i="9" a="1"/>
  <c r="M51" i="7" l="1"/>
  <c r="M30" i="7"/>
  <c r="M40" i="7"/>
  <c r="M53" i="7"/>
  <c r="M27" i="7"/>
  <c r="I3" i="7"/>
  <c r="M17" i="7"/>
  <c r="K2" i="7"/>
  <c r="M44" i="7"/>
  <c r="M41" i="7"/>
  <c r="M37" i="7"/>
  <c r="M33" i="7"/>
  <c r="M32" i="7"/>
  <c r="F6" i="7"/>
  <c r="M21" i="7"/>
  <c r="F2" i="7"/>
  <c r="K5" i="7"/>
  <c r="M36" i="7"/>
  <c r="M24" i="7"/>
  <c r="K4" i="7"/>
  <c r="I2" i="7" s="1"/>
  <c r="M25" i="7"/>
  <c r="K3" i="7"/>
  <c r="I4" i="7"/>
  <c r="M29" i="7"/>
  <c r="K6" i="7"/>
  <c r="N6" i="7"/>
  <c r="Q3" i="7" s="1"/>
  <c r="M20" i="7"/>
  <c r="M16" i="7"/>
  <c r="N2" i="7"/>
  <c r="D3" i="7"/>
  <c r="G43" i="7" s="1"/>
  <c r="M18" i="7"/>
  <c r="M22" i="7"/>
  <c r="M26" i="7"/>
  <c r="M34" i="7"/>
  <c r="M38" i="7"/>
  <c r="M42" i="7"/>
  <c r="F3" i="7"/>
  <c r="F4" i="7"/>
  <c r="D2" i="7" s="1"/>
  <c r="F5" i="7"/>
  <c r="N1" i="7"/>
  <c r="M15" i="7"/>
  <c r="M19" i="7"/>
  <c r="M23" i="7"/>
  <c r="M31" i="7"/>
  <c r="M39" i="7"/>
  <c r="M43" i="7"/>
  <c r="D4" i="7"/>
  <c r="D24" i="9"/>
  <c r="C3" i="1"/>
  <c r="D3" i="1" s="1"/>
  <c r="N18" i="9"/>
  <c r="I5" i="7" l="1"/>
  <c r="G44" i="7"/>
  <c r="G25" i="7"/>
  <c r="G49" i="7"/>
  <c r="G46" i="7"/>
  <c r="G45" i="7"/>
  <c r="G51" i="7"/>
  <c r="G50" i="7"/>
  <c r="G48" i="7"/>
  <c r="G47" i="7"/>
  <c r="G42" i="7"/>
  <c r="L45" i="7"/>
  <c r="L28" i="7"/>
  <c r="L50" i="7"/>
  <c r="L18" i="7"/>
  <c r="L43" i="7"/>
  <c r="L23" i="7"/>
  <c r="L53" i="7"/>
  <c r="L20" i="7"/>
  <c r="L19" i="7"/>
  <c r="L30" i="7"/>
  <c r="L34" i="7"/>
  <c r="L39" i="7"/>
  <c r="L27" i="7"/>
  <c r="L17" i="7"/>
  <c r="L42" i="7"/>
  <c r="L37" i="7"/>
  <c r="L16" i="7"/>
  <c r="L15" i="7"/>
  <c r="L33" i="7"/>
  <c r="L41" i="7"/>
  <c r="L24" i="7"/>
  <c r="L38" i="7"/>
  <c r="L31" i="7"/>
  <c r="L40" i="7"/>
  <c r="L29" i="7"/>
  <c r="L47" i="7"/>
  <c r="L48" i="7"/>
  <c r="L51" i="7"/>
  <c r="L22" i="7"/>
  <c r="D5" i="7"/>
  <c r="G38" i="7"/>
  <c r="Q2" i="7"/>
  <c r="G34" i="7"/>
  <c r="G39" i="7"/>
  <c r="G14" i="7"/>
  <c r="G17" i="7"/>
  <c r="G35" i="7"/>
  <c r="L46" i="7"/>
  <c r="L36" i="7"/>
  <c r="L25" i="7"/>
  <c r="L49" i="7"/>
  <c r="L32" i="7"/>
  <c r="L35" i="7"/>
  <c r="L52" i="7"/>
  <c r="L44" i="7"/>
  <c r="L26" i="7"/>
  <c r="L21" i="7"/>
  <c r="L54" i="7"/>
  <c r="L14" i="7"/>
  <c r="G41" i="7"/>
  <c r="G22" i="7"/>
  <c r="G15" i="7"/>
  <c r="G33" i="7"/>
  <c r="G54" i="7"/>
  <c r="G53" i="7"/>
  <c r="G40" i="7"/>
  <c r="G24" i="7"/>
  <c r="G52" i="7"/>
  <c r="G36" i="7"/>
  <c r="G32" i="7"/>
  <c r="G28" i="7"/>
  <c r="G20" i="7"/>
  <c r="G16" i="7"/>
  <c r="G26" i="7"/>
  <c r="G21" i="7"/>
  <c r="G30" i="7"/>
  <c r="G37" i="7"/>
  <c r="M55" i="7"/>
  <c r="M56" i="7"/>
  <c r="G18" i="7"/>
  <c r="G19" i="7"/>
  <c r="G27" i="7"/>
  <c r="N3" i="7"/>
  <c r="G29" i="7"/>
  <c r="G31" i="7"/>
  <c r="G23" i="7"/>
  <c r="N4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<sst xmlns="http://schemas.openxmlformats.org/spreadsheetml/2006/main" count="274" uniqueCount="146">
  <si>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</si>
  <si>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</si>
  <si>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</si>
  <si>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</si>
  <si>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</si>
  <si>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</si>
  <si>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</si>
  <si>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</si>
  <si>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</si>
  <si>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</si>
  <si>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</si>
  <si>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</si>
  <si>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</si>
  <si>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</si>
  <si>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</si>
  <si>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</si>
  <si>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</si>
  <si>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</si>
  <si>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</si>
  <si>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</si>
  <si>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</si>
  <si>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</si>
  <si>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</si>
  <si>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</si>
  <si>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</si>
  <si>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</si>
  <si>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</si>
  <si>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</si>
  <si>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</si>
  <si>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</si>
  <si>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</si>
  <si>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</si>
  <si>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</si>
  <si>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</si>
  <si>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</si>
  <si>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</si>
  <si>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</si>
  <si>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</si>
  <si>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</si>
  <si>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</si>
  <si>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</si>
  <si>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</si>
  <si>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</si>
  <si>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</si>
  <si>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</si>
  <si>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</si>
  <si>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</si>
  <si>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</si>
  <si>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</si>
  <si>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</si>
  <si>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</si>
  <si>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</si>
  <si>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</si>
  <si>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</si>
  <si>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</si>
  <si>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</si>
  <si>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</si>
  <si>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</si>
  <si>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</si>
  <si>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</si>
  <si>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</si>
  <si>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</si>
  <si>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</si>
  <si>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</si>
  <si>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</si>
  <si>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</si>
  <si>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</si>
  <si>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</si>
  <si>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</si>
  <si>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</si>
  <si>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</si>
  <si>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</si>
  <si>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</si>
  <si>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</si>
  <si>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</si>
  <si>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</si>
  <si>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</si>
  <si>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</si>
  <si>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</si>
  <si>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</si>
  <si>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</si>
  <si>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</si>
  <si>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</si>
  <si>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</si>
  <si>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</si>
  <si>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</si>
  <si>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</si>
  <si>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</si>
  <si>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</si>
  <si>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</si>
  <si>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</si>
  <si>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</si>
  <si>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</si>
  <si>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</si>
  <si>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</si>
  <si>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</si>
  <si>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</si>
  <si>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</si>
  <si>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</si>
  <si>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</si>
  <si>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</si>
  <si>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社会</t>
  </si>
  <si>
    <t>主体的</t>
  </si>
  <si>
    <t>算数</t>
  </si>
  <si>
    <t>無効</t>
    <phoneticPr fontId="1"/>
  </si>
  <si>
    <t>達成率</t>
  </si>
  <si>
    <t>ABC</t>
  </si>
  <si>
    <t>理科</t>
  </si>
  <si>
    <t>体育</t>
  </si>
  <si>
    <t>英語</t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</si>
  <si>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</si>
  <si>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</si>
  <si>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</si>
  <si>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</si>
  <si>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</si>
  <si>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</si>
  <si>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</si>
  <si>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</si>
  <si>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</si>
  <si>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</si>
  <si>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</si>
  <si>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</si>
  <si>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</si>
  <si>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</si>
  <si>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</si>
  <si>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</si>
  <si>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</si>
  <si>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非表示</t>
    <phoneticPr fontId="1"/>
  </si>
  <si>
    <t>※ 得点セルをダブルクリックで修正できます</t>
    <phoneticPr fontId="1"/>
  </si>
  <si>
    <t>追試</t>
    <rPh sb="0" eb="2">
      <t>ツイシ</t>
    </rPh>
    <phoneticPr fontId="1"/>
  </si>
  <si>
    <t>コード</t>
  </si>
  <si>
    <t>姓</t>
  </si>
  <si>
    <t>名</t>
  </si>
  <si>
    <t>在籍開始日</t>
  </si>
  <si>
    <t>在籍終了日</t>
  </si>
  <si>
    <t>【説明】</t>
    <rPh sb="1" eb="3">
      <t>セツメイ</t>
    </rPh>
    <phoneticPr fontId="1"/>
  </si>
  <si>
    <t>・番号順に姓と名を分けて、上から順に入力してください。</t>
    <rPh sb="1" eb="4">
      <t>バンゴウジュン</t>
    </rPh>
    <rPh sb="5" eb="6">
      <t>セイ</t>
    </rPh>
    <rPh sb="7" eb="8">
      <t>メイ</t>
    </rPh>
    <rPh sb="9" eb="10">
      <t>ワ</t>
    </rPh>
    <rPh sb="13" eb="14">
      <t>ウエ</t>
    </rPh>
    <rPh sb="16" eb="17">
      <t>ジュン</t>
    </rPh>
    <rPh sb="18" eb="20">
      <t>ニュウリョク</t>
    </rPh>
    <phoneticPr fontId="1"/>
  </si>
  <si>
    <t>・児童を識別するためにコードが必要となります。特にこだわりがない場合は、名前入力後、自動採番ボタンを押してください。</t>
    <rPh sb="1" eb="3">
      <t>ジドウ</t>
    </rPh>
    <rPh sb="4" eb="6">
      <t>シキベツ</t>
    </rPh>
    <rPh sb="15" eb="17">
      <t>ヒツヨウ</t>
    </rPh>
    <rPh sb="23" eb="24">
      <t>トク</t>
    </rPh>
    <rPh sb="32" eb="34">
      <t>バアイ</t>
    </rPh>
    <rPh sb="36" eb="41">
      <t>ナマエニュウリョクゴ</t>
    </rPh>
    <rPh sb="42" eb="46">
      <t>ジドウサイバン</t>
    </rPh>
    <rPh sb="50" eb="51">
      <t>オ</t>
    </rPh>
    <phoneticPr fontId="1"/>
  </si>
  <si>
    <t>・転学等でクラスの在籍が無くなった場合は、その日を在籍終了日に入力してください。</t>
    <rPh sb="1" eb="3">
      <t>テンガク</t>
    </rPh>
    <rPh sb="3" eb="4">
      <t>トウ</t>
    </rPh>
    <rPh sb="9" eb="11">
      <t>ザイセキ</t>
    </rPh>
    <rPh sb="12" eb="13">
      <t>ナ</t>
    </rPh>
    <rPh sb="17" eb="19">
      <t>バアイ</t>
    </rPh>
    <rPh sb="23" eb="24">
      <t>ヒ</t>
    </rPh>
    <rPh sb="25" eb="30">
      <t>ザイセキシュウリョウビ</t>
    </rPh>
    <rPh sb="31" eb="33">
      <t>ニュウリョク</t>
    </rPh>
    <phoneticPr fontId="1"/>
  </si>
  <si>
    <t>小テスト</t>
    <rPh sb="0" eb="1">
      <t>ショウ</t>
    </rPh>
    <phoneticPr fontId="1"/>
  </si>
  <si>
    <t>・在籍開始日を設定してください。</t>
    <rPh sb="1" eb="6">
      <t>ザイセキカイシビ</t>
    </rPh>
    <rPh sb="7" eb="9">
      <t>セッテイ</t>
    </rPh>
    <phoneticPr fontId="1"/>
  </si>
  <si>
    <t>入力チェック</t>
    <rPh sb="0" eb="2">
      <t>ニュウリョク</t>
    </rPh>
    <phoneticPr fontId="1"/>
  </si>
  <si>
    <t>実施したテストを入力する場合はこちら</t>
    <rPh sb="0" eb="2">
      <t>ジッシ</t>
    </rPh>
    <rPh sb="8" eb="10">
      <t>ニュウリョク</t>
    </rPh>
    <rPh sb="12" eb="14">
      <t>バアイ</t>
    </rPh>
    <phoneticPr fontId="1"/>
  </si>
  <si>
    <t>各教科や観点ごとに成績を集計・確認したい場合はこちら</t>
    <rPh sb="0" eb="3">
      <t>カクキョウカ</t>
    </rPh>
    <rPh sb="4" eb="6">
      <t>カンテン</t>
    </rPh>
    <rPh sb="9" eb="11">
      <t>セイセキ</t>
    </rPh>
    <rPh sb="12" eb="14">
      <t>シュウケイ</t>
    </rPh>
    <rPh sb="15" eb="17">
      <t>カクニン</t>
    </rPh>
    <rPh sb="20" eb="22">
      <t>バアイ</t>
    </rPh>
    <phoneticPr fontId="1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</si>
  <si>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1"/>
  </si>
  <si>
    <t>表示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</si>
</sst>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b/>
      <sz val="20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9"/>
      <color rgb="FF000000"/>
      <name val="游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/>
      <right/>
      <top/>
      <bottom style="thin">
        <color rgb="FF1F497D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17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0" borderId="0" xfId="1" applyFont="1" applyAlignment="1">
      <alignment horizontal="center" vertical="center" wrapText="1" shrinkToFit="1"/>
    </xf>
    <xf numFmtId="0" fontId="10" fillId="6" borderId="1" xfId="1" applyFont="1" applyFill="1" applyBorder="1" applyAlignment="1">
      <alignment horizontal="center" vertical="center" wrapText="1" shrinkToFit="1"/>
    </xf>
    <xf numFmtId="0" fontId="10" fillId="7" borderId="1" xfId="1" applyFont="1" applyFill="1" applyBorder="1" applyAlignment="1">
      <alignment horizontal="center" vertical="center" wrapText="1" shrinkToFit="1"/>
    </xf>
    <xf numFmtId="0" fontId="10" fillId="8" borderId="1" xfId="1" applyFont="1" applyFill="1" applyBorder="1" applyAlignment="1">
      <alignment horizontal="center" vertical="center" wrapText="1" shrinkToFit="1"/>
    </xf>
    <xf numFmtId="0" fontId="8" fillId="8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/>
    </xf>
    <xf numFmtId="0" fontId="10" fillId="0" borderId="1" xfId="1" applyFont="1" applyBorder="1" applyAlignment="1">
      <alignment horizontal="center" vertical="center" wrapText="1" shrinkToFit="1"/>
    </xf>
    <xf numFmtId="0" fontId="10" fillId="0" borderId="0" xfId="1" applyFont="1" applyAlignment="1">
      <alignment horizontal="right" vertical="center"/>
    </xf>
    <xf numFmtId="0" fontId="5" fillId="0" borderId="26" xfId="1" applyBorder="1" applyAlignment="1">
      <alignment horizont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29" xfId="0" applyFont="1" applyFill="1" applyBorder="1" applyAlignment="1">
      <alignment horizontal="center" vertical="center"/>
    </xf>
    <xf numFmtId="0" fontId="16" fillId="10" borderId="29" xfId="0" applyFont="1" applyFill="1" applyBorder="1" applyAlignment="1">
      <alignment horizontal="center" vertical="center"/>
    </xf>
    <xf numFmtId="0" fontId="13" fillId="0" borderId="30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7" fillId="9" borderId="0" xfId="0" applyFont="1" applyFill="1">
      <alignment vertical="center"/>
    </xf>
    <xf numFmtId="0" fontId="21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0" fillId="12" borderId="0" xfId="0" applyFont="1" applyFill="1">
      <alignment vertical="center"/>
    </xf>
    <xf numFmtId="0" fontId="20" fillId="12" borderId="0" xfId="0" applyFont="1" applyFill="1" applyAlignment="1">
      <alignment horizontal="right" vertical="center"/>
    </xf>
    <xf numFmtId="0" fontId="22" fillId="12" borderId="0" xfId="0" applyFont="1" applyFill="1">
      <alignment vertical="center"/>
    </xf>
    <xf numFmtId="0" fontId="20" fillId="12" borderId="0" xfId="0" applyFont="1" applyFill="1" applyAlignment="1">
      <alignment vertical="center" textRotation="255"/>
    </xf>
    <xf numFmtId="0" fontId="20" fillId="12" borderId="30" xfId="0" applyFont="1" applyFill="1" applyBorder="1">
      <alignment vertical="center"/>
    </xf>
    <xf numFmtId="0" fontId="20" fillId="12" borderId="30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19" fillId="13" borderId="0" xfId="0" applyFont="1" applyFill="1">
      <alignment vertical="center"/>
    </xf>
    <xf numFmtId="0" fontId="19" fillId="0" borderId="0" xfId="0" applyFont="1">
      <alignment vertical="center"/>
    </xf>
    <xf numFmtId="14" fontId="13" fillId="0" borderId="0" xfId="0" applyNumberFormat="1" applyFont="1">
      <alignment vertical="center"/>
    </xf>
    <xf numFmtId="0" fontId="21" fillId="11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3" fillId="0" borderId="0" xfId="0" applyNumberFormat="1" applyFont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8" fillId="5" borderId="1" xfId="1" applyFont="1" applyFill="1" applyBorder="1" applyAlignment="1" applyProtection="1">
      <alignment shrinkToFit="1"/>
      <protection locked="0"/>
    </xf>
    <xf numFmtId="14" fontId="8" fillId="5" borderId="1" xfId="1" applyNumberFormat="1" applyFont="1" applyFill="1" applyBorder="1" applyAlignment="1" applyProtection="1">
      <alignment horizontal="center"/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10" fillId="5" borderId="1" xfId="1" applyFont="1" applyFill="1" applyBorder="1" applyAlignment="1" applyProtection="1">
      <alignment horizontal="center" vertical="center" wrapText="1" shrinkToFit="1"/>
      <protection locked="0"/>
    </xf>
    <xf numFmtId="0" fontId="8" fillId="5" borderId="1" xfId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1" applyProtection="1">
      <protection locked="0"/>
    </xf>
    <xf numFmtId="0" fontId="5" fillId="0" borderId="0" xfId="1" applyAlignment="1" applyProtection="1">
      <alignment horizontal="center"/>
      <protection locked="0"/>
    </xf>
    <xf numFmtId="0" fontId="5" fillId="15" borderId="0" xfId="1" applyFill="1"/>
    <xf numFmtId="0" fontId="5" fillId="15" borderId="0" xfId="1" applyFill="1" applyAlignment="1">
      <alignment horizontal="left"/>
    </xf>
    <xf numFmtId="0" fontId="6" fillId="15" borderId="0" xfId="1" applyFont="1" applyFill="1" applyAlignment="1">
      <alignment horizontal="left"/>
    </xf>
    <xf numFmtId="0" fontId="8" fillId="15" borderId="0" xfId="1" applyFont="1" applyFill="1"/>
    <xf numFmtId="0" fontId="8" fillId="15" borderId="0" xfId="1" applyFont="1" applyFill="1" applyAlignment="1">
      <alignment horizontal="left"/>
    </xf>
    <xf numFmtId="0" fontId="9" fillId="15" borderId="0" xfId="1" applyFont="1" applyFill="1" applyAlignment="1">
      <alignment horizontal="right"/>
    </xf>
    <xf numFmtId="0" fontId="5" fillId="15" borderId="0" xfId="1" applyFill="1" applyAlignment="1">
      <alignment horizontal="right"/>
    </xf>
    <xf numFmtId="0" fontId="8" fillId="15" borderId="26" xfId="1" applyFont="1" applyFill="1" applyBorder="1"/>
    <xf numFmtId="0" fontId="12" fillId="15" borderId="26" xfId="1" applyFont="1" applyFill="1" applyBorder="1" applyAlignment="1">
      <alignment horizontal="center" vertical="center"/>
    </xf>
    <xf numFmtId="0" fontId="8" fillId="15" borderId="0" xfId="1" applyFont="1" applyFill="1" applyAlignment="1">
      <alignment horizontal="center"/>
    </xf>
    <xf numFmtId="0" fontId="5" fillId="15" borderId="0" xfId="1" applyFill="1" applyAlignment="1">
      <alignment horizontal="center"/>
    </xf>
    <xf numFmtId="0" fontId="8" fillId="15" borderId="0" xfId="1" applyFont="1" applyFill="1" applyAlignment="1">
      <alignment horizontal="center" shrinkToFit="1"/>
    </xf>
    <xf numFmtId="0" fontId="11" fillId="15" borderId="0" xfId="1" applyFont="1" applyFill="1" applyAlignment="1">
      <alignment horizontal="center"/>
    </xf>
    <xf numFmtId="0" fontId="13" fillId="15" borderId="0" xfId="1" applyFont="1" applyFill="1" applyAlignment="1">
      <alignment horizontal="center"/>
    </xf>
    <xf numFmtId="0" fontId="10" fillId="15" borderId="0" xfId="1" applyFont="1" applyFill="1" applyAlignment="1">
      <alignment horizontal="left"/>
    </xf>
    <xf numFmtId="0" fontId="8" fillId="15" borderId="26" xfId="1" applyFont="1" applyFill="1" applyBorder="1" applyAlignment="1">
      <alignment horizontal="center"/>
    </xf>
    <xf numFmtId="0" fontId="5" fillId="15" borderId="0" xfId="1" applyFill="1" applyAlignment="1">
      <alignment horizontal="center" vertical="center"/>
    </xf>
    <xf numFmtId="0" fontId="8" fillId="15" borderId="0" xfId="1" applyFont="1" applyFill="1" applyAlignment="1" applyProtection="1">
      <alignment horizontal="center"/>
      <protection locked="0"/>
    </xf>
    <xf numFmtId="0" fontId="0" fillId="9" borderId="0" xfId="0" applyFill="1">
      <alignment vertical="center"/>
    </xf>
    <xf numFmtId="0" fontId="26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7" fillId="0" borderId="0" xfId="0" applyFont="1">
      <alignment vertical="center"/>
    </xf>
    <xf numFmtId="0" fontId="17" fillId="9" borderId="0" xfId="0" applyFont="1" applyFill="1" applyProtection="1">
      <alignment vertical="center"/>
      <protection locked="0"/>
    </xf>
    <xf numFmtId="0" fontId="13" fillId="9" borderId="0" xfId="0" applyFont="1" applyFill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0" fontId="20" fillId="14" borderId="0" xfId="0" applyFont="1" applyFill="1" applyProtection="1">
      <alignment vertical="center"/>
      <protection locked="0"/>
    </xf>
    <xf numFmtId="0" fontId="20" fillId="14" borderId="0" xfId="0" applyFont="1" applyFill="1" applyAlignment="1" applyProtection="1">
      <alignment horizontal="right" vertical="center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20" fillId="14" borderId="31" xfId="0" applyFont="1" applyFill="1" applyBorder="1" applyProtection="1">
      <alignment vertical="center"/>
      <protection locked="0"/>
    </xf>
    <xf numFmtId="0" fontId="20" fillId="14" borderId="31" xfId="0" applyFont="1" applyFill="1" applyBorder="1" applyAlignment="1" applyProtection="1">
      <alignment horizontal="right" vertical="center"/>
      <protection locked="0"/>
    </xf>
    <xf numFmtId="0" fontId="20" fillId="12" borderId="0" xfId="0" applyFont="1" applyFill="1" applyProtection="1">
      <alignment vertical="center"/>
      <protection locked="0"/>
    </xf>
    <xf numFmtId="0" fontId="20" fillId="12" borderId="0" xfId="0" applyFont="1" applyFill="1" applyAlignment="1" applyProtection="1">
      <alignment horizontal="right" vertical="center"/>
      <protection locked="0"/>
    </xf>
    <xf numFmtId="0" fontId="13" fillId="0" borderId="0" xfId="1" applyFont="1" applyProtection="1">
      <protection locked="0"/>
    </xf>
    <xf numFmtId="0" fontId="13" fillId="1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3" fillId="15" borderId="0" xfId="0" applyFont="1" applyFill="1" applyAlignment="1" applyProtection="1">
      <alignment vertical="center" shrinkToFit="1"/>
      <protection locked="0"/>
    </xf>
    <xf numFmtId="0" fontId="13" fillId="0" borderId="28" xfId="0" applyFont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20" fillId="12" borderId="31" xfId="0" applyFont="1" applyFill="1" applyBorder="1" applyProtection="1">
      <alignment vertical="center"/>
      <protection locked="0"/>
    </xf>
    <xf numFmtId="0" fontId="20" fillId="12" borderId="31" xfId="0" applyFont="1" applyFill="1" applyBorder="1" applyAlignment="1" applyProtection="1">
      <alignment horizontal="right" vertical="center"/>
      <protection locked="0"/>
    </xf>
    <xf numFmtId="0" fontId="20" fillId="11" borderId="0" xfId="0" applyFont="1" applyFill="1" applyProtection="1">
      <alignment vertical="center"/>
      <protection locked="0"/>
    </xf>
    <xf numFmtId="0" fontId="20" fillId="11" borderId="0" xfId="0" applyFont="1" applyFill="1" applyAlignment="1" applyProtection="1">
      <alignment horizontal="right" vertical="center"/>
      <protection locked="0"/>
    </xf>
    <xf numFmtId="0" fontId="20" fillId="11" borderId="30" xfId="0" applyFont="1" applyFill="1" applyBorder="1" applyAlignment="1" applyProtection="1">
      <alignment horizontal="right" vertical="center"/>
      <protection locked="0"/>
    </xf>
    <xf numFmtId="0" fontId="20" fillId="11" borderId="30" xfId="0" applyFont="1" applyFill="1" applyBorder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2">
    <cellStyle name="標準" xfId="0" builtinId="0"/>
    <cellStyle name="標準 2" xfId="1" xr:uid="{400476B9-6F9E-4B9B-BA13-859D55D6414B}"/>
  </cellStyles>
  <dxfs count="10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F497D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比較分析!$F$15:$F$54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比較分析!$K$15:$K$54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fmlaLink="$M$12" lockText="1"/>
</file>

<file path=xl/ctrlProps/ctrlProp8.xml><?xml version="1.0" encoding="utf-8"?>
<formControlPr xmlns="http://schemas.microsoft.com/office/spreadsheetml/2009/9/main" objectType="CheckBox" checked="Checked" fmlaLink="$M$14" lockText="1"/>
</file>

<file path=xl/ctrlProps/ctrlProp9.xml><?xml version="1.0" encoding="utf-8"?>
<formControlPr xmlns="http://schemas.microsoft.com/office/spreadsheetml/2009/9/main" objectType="CheckBox" checked="Checked" fmlaLink="$M$16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fmlaLink="$M$10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152400</xdr:rowOff>
        </xdr:from>
        <xdr:to>
          <xdr:col>1</xdr:col>
          <xdr:colOff>923925</xdr:colOff>
          <xdr:row>3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6</xdr:row>
          <xdr:rowOff>142875</xdr:rowOff>
        </xdr:from>
        <xdr:to>
          <xdr:col>9</xdr:col>
          <xdr:colOff>619125</xdr:colOff>
          <xdr:row>8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104775</xdr:rowOff>
        </xdr:from>
        <xdr:to>
          <xdr:col>1</xdr:col>
          <xdr:colOff>914400</xdr:colOff>
          <xdr:row>5</xdr:row>
          <xdr:rowOff>104775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</xdr:row>
          <xdr:rowOff>161925</xdr:rowOff>
        </xdr:from>
        <xdr:to>
          <xdr:col>1</xdr:col>
          <xdr:colOff>914400</xdr:colOff>
          <xdr:row>7</xdr:row>
          <xdr:rowOff>123825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238125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自動採番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9525</xdr:rowOff>
        </xdr:from>
        <xdr:to>
          <xdr:col>5</xdr:col>
          <xdr:colOff>9525</xdr:colOff>
          <xdr:row>8</xdr:row>
          <xdr:rowOff>200025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7</xdr:row>
          <xdr:rowOff>28575</xdr:rowOff>
        </xdr:from>
        <xdr:to>
          <xdr:col>9</xdr:col>
          <xdr:colOff>409575</xdr:colOff>
          <xdr:row>9</xdr:row>
          <xdr:rowOff>9525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8</xdr:row>
          <xdr:rowOff>38100</xdr:rowOff>
        </xdr:from>
        <xdr:to>
          <xdr:col>9</xdr:col>
          <xdr:colOff>409575</xdr:colOff>
          <xdr:row>10</xdr:row>
          <xdr:rowOff>19050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7</xdr:row>
          <xdr:rowOff>19050</xdr:rowOff>
        </xdr:from>
        <xdr:to>
          <xdr:col>10</xdr:col>
          <xdr:colOff>9525</xdr:colOff>
          <xdr:row>9</xdr:row>
          <xdr:rowOff>9525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10</xdr:row>
          <xdr:rowOff>28575</xdr:rowOff>
        </xdr:from>
        <xdr:to>
          <xdr:col>9</xdr:col>
          <xdr:colOff>409575</xdr:colOff>
          <xdr:row>12</xdr:row>
          <xdr:rowOff>9525</xdr:rowOff>
        </xdr:to>
        <xdr:sp macro="" textlink="">
          <xdr:nvSpPr>
            <xdr:cNvPr id="12300" name="Cb_Retes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29</xdr:row>
          <xdr:rowOff>9525</xdr:rowOff>
        </xdr:from>
        <xdr:to>
          <xdr:col>3</xdr:col>
          <xdr:colOff>0</xdr:colOff>
          <xdr:row>29</xdr:row>
          <xdr:rowOff>219075</xdr:rowOff>
        </xdr:to>
        <xdr:sp macro="" textlink="">
          <xdr:nvSpPr>
            <xdr:cNvPr id="12301" name="btn_enrollment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9525</xdr:colOff>
          <xdr:row>5</xdr:row>
          <xdr:rowOff>28575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9525</xdr:colOff>
          <xdr:row>6</xdr:row>
          <xdr:rowOff>66675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9525</xdr:rowOff>
        </xdr:from>
        <xdr:to>
          <xdr:col>4</xdr:col>
          <xdr:colOff>495300</xdr:colOff>
          <xdr:row>1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28575</xdr:rowOff>
        </xdr:from>
        <xdr:to>
          <xdr:col>1</xdr:col>
          <xdr:colOff>47625</xdr:colOff>
          <xdr:row>7</xdr:row>
          <xdr:rowOff>361950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結果比較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2</xdr:col>
          <xdr:colOff>619125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1</xdr:row>
          <xdr:rowOff>200025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1</xdr:row>
          <xdr:rowOff>200025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1</xdr:row>
          <xdr:rowOff>200025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1</xdr:col>
          <xdr:colOff>0</xdr:colOff>
          <xdr:row>6</xdr:row>
          <xdr:rowOff>219075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0</xdr:rowOff>
        </xdr:from>
        <xdr:to>
          <xdr:col>1</xdr:col>
          <xdr:colOff>752475</xdr:colOff>
          <xdr:row>3</xdr:row>
          <xdr:rowOff>9525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0</xdr:row>
          <xdr:rowOff>38100</xdr:rowOff>
        </xdr:from>
        <xdr:to>
          <xdr:col>11</xdr:col>
          <xdr:colOff>123825</xdr:colOff>
          <xdr:row>0</xdr:row>
          <xdr:rowOff>723900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完全初期化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2143125</xdr:colOff>
          <xdr:row>0</xdr:row>
          <xdr:rowOff>9525</xdr:rowOff>
        </xdr:from>
        <xdr:to>
          <xdr:col>7</xdr:col>
          <xdr:colOff>0</xdr:colOff>
          <xdr:row>1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C0289-4BA8-4381-B988-115BF01A1BA2}" name="テーブル1" displayName="テーブル1" ref="B10:F50" totalsRowShown="0" headerRowDxfId="9" dataDxfId="8">
  <autoFilter ref="B10:F50" xr:uid="{395C0289-4BA8-4381-B988-115BF01A1BA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05CD077-0236-4A23-BF37-14A11B59E765}" name="コード" dataDxfId="7"/>
    <tableColumn id="2" xr3:uid="{F7E8E662-33B4-47A9-9359-85A24514C7E8}" name="姓" dataDxfId="6"/>
    <tableColumn id="3" xr3:uid="{3110AD64-18BF-4922-AE07-7459F82450A1}" name="名" dataDxfId="5"/>
    <tableColumn id="4" xr3:uid="{0FD6DF6B-FE62-4B6A-861B-43BE6D5EEE0A}" name="在籍開始日" dataDxfId="4"/>
    <tableColumn id="5" xr3:uid="{9FD53C1F-0F95-4BDF-BCAB-94D5AF50A2E3}" name="在籍終了日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10"/>
  <sheetViews>
    <sheetView tabSelected="1" workbookViewId="0">
      <selection activeCell="I11" sqref="I11"/>
    </sheetView>
  </sheetViews>
  <sheetFormatPr defaultRowHeight="16.5" x14ac:dyDescent="0.4"/>
  <cols>
    <col min="1" max="1" width="3.625" style="81" customWidth="1"/>
    <col min="2" max="2" width="12.625" style="81" customWidth="1"/>
    <col min="3" max="5" width="8.625" style="81" customWidth="1"/>
    <col min="6" max="6" width="10.625" style="81" customWidth="1"/>
    <col min="7" max="7" width="18.625" style="81" customWidth="1"/>
    <col min="8" max="8" width="12.625" style="81" customWidth="1"/>
    <col min="9" max="9" width="8.625" style="88" customWidth="1"/>
    <col min="10" max="10" width="8.625" style="81" customWidth="1"/>
    <col min="11" max="12" width="0" style="81" hidden="1" customWidth="1"/>
    <col min="13" max="16384" width="9" style="81"/>
  </cols>
  <sheetData>
    <row r="1" spans="1:13" ht="25.5" x14ac:dyDescent="0.4">
      <c r="A1" s="83" t="s">
        <v>61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2" spans="1:13" x14ac:dyDescent="0.4">
      <c r="I2" s="81"/>
    </row>
    <row r="3" spans="1:13" x14ac:dyDescent="0.4">
      <c r="C3" s="81" t="str">
        <f>IF(COUNTIF(名簿!H11:H50,"NG")&gt;0,"未入力項目あり","OK")</f>
        <v>OK</v>
      </c>
      <c r="D3" s="81" t="str">
        <f>IF(C3="OK","","最初に名簿の登録が必要です。登録してください。")</f>
        <v/>
      </c>
      <c r="I3" s="81"/>
    </row>
    <row r="4" spans="1:13" x14ac:dyDescent="0.4">
      <c r="I4" s="81"/>
    </row>
    <row r="5" spans="1:13" x14ac:dyDescent="0.4">
      <c r="C5" s="81" t="s">
        <v>142</v>
      </c>
      <c r="I5" s="81"/>
    </row>
    <row r="6" spans="1:13" x14ac:dyDescent="0.4">
      <c r="I6" s="81"/>
    </row>
    <row r="7" spans="1:13" x14ac:dyDescent="0.4">
      <c r="C7" s="81" t="s">
        <v>143</v>
      </c>
      <c r="I7" s="81"/>
    </row>
    <row r="8" spans="1:13" x14ac:dyDescent="0.4">
      <c r="I8" s="81"/>
    </row>
    <row r="9" spans="1:13" ht="17.25" thickBot="1" x14ac:dyDescent="0.45"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</row>
    <row r="10" spans="1:13" x14ac:dyDescent="0.4">
      <c r="B10" s="85" t="s">
        <v>110</v>
      </c>
      <c r="C10" s="85" t="s">
        <v>88</v>
      </c>
      <c r="D10" s="85" t="s">
        <v>89</v>
      </c>
      <c r="E10" s="85" t="s">
        <v>0</v>
      </c>
      <c r="F10" s="85" t="s">
        <v>2</v>
      </c>
      <c r="G10" s="85" t="s">
        <v>94</v>
      </c>
      <c r="H10" s="85" t="s">
        <v>79</v>
      </c>
      <c r="I10" s="86" t="s">
        <v>95</v>
      </c>
      <c r="J10" s="85" t="s">
        <v>3</v>
      </c>
      <c r="K10" s="85" t="s">
        <v>96</v>
      </c>
      <c r="L10" s="85" t="s">
        <v>97</v>
      </c>
    </row>
  </sheetData>
  <sheetProtection algorithmName="SHA-512" hashValue="Au9MgU2gdxHBOP+IXpfGV7Rub+9Wwb6q4PvayhVFL1j600Xq/Cn5hMhyDISr/MhReHIgEjS0nMHXEds2aKqXkw==" saltValue="oRGYZHrU1YGxeopumvQZTw==" spinCount="100000" sheet="1" objects="1" select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0</xdr:col>
                    <xdr:colOff>123825</xdr:colOff>
                    <xdr:row>1</xdr:row>
                    <xdr:rowOff>152400</xdr:rowOff>
                  </from>
                  <to>
                    <xdr:col>1</xdr:col>
                    <xdr:colOff>923925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19050</xdr:colOff>
                    <xdr:row>6</xdr:row>
                    <xdr:rowOff>142875</xdr:rowOff>
                  </from>
                  <to>
                    <xdr:col>9</xdr:col>
                    <xdr:colOff>619125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0</xdr:col>
                    <xdr:colOff>123825</xdr:colOff>
                    <xdr:row>3</xdr:row>
                    <xdr:rowOff>104775</xdr:rowOff>
                  </from>
                  <to>
                    <xdr:col>1</xdr:col>
                    <xdr:colOff>914400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0</xdr:col>
                    <xdr:colOff>114300</xdr:colOff>
                    <xdr:row>5</xdr:row>
                    <xdr:rowOff>161925</xdr:rowOff>
                  </from>
                  <to>
                    <xdr:col>1</xdr:col>
                    <xdr:colOff>914400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H79"/>
  <sheetViews>
    <sheetView workbookViewId="0">
      <selection activeCell="D19" sqref="D19"/>
    </sheetView>
  </sheetViews>
  <sheetFormatPr defaultRowHeight="16.5" x14ac:dyDescent="0.4"/>
  <cols>
    <col min="1" max="1" width="6.5" style="81" customWidth="1"/>
    <col min="2" max="3" width="8.625" style="81" customWidth="1"/>
    <col min="4" max="4" width="9" style="81"/>
    <col min="5" max="5" width="11" style="81" customWidth="1"/>
    <col min="6" max="6" width="10.875" style="81" customWidth="1"/>
    <col min="7" max="7" width="2.375" style="81" customWidth="1"/>
    <col min="8" max="16384" width="9" style="81"/>
  </cols>
  <sheetData>
    <row r="1" spans="1:8" ht="24" x14ac:dyDescent="0.4">
      <c r="A1" s="94" t="s">
        <v>90</v>
      </c>
      <c r="B1" s="82"/>
      <c r="C1" s="82"/>
      <c r="D1" s="82"/>
      <c r="E1" s="82"/>
      <c r="F1" s="82"/>
    </row>
    <row r="2" spans="1:8" x14ac:dyDescent="0.4">
      <c r="A2" s="81" t="s">
        <v>135</v>
      </c>
    </row>
    <row r="3" spans="1:8" x14ac:dyDescent="0.4">
      <c r="A3" s="81" t="s">
        <v>136</v>
      </c>
    </row>
    <row r="4" spans="1:8" x14ac:dyDescent="0.4">
      <c r="A4" s="81" t="s">
        <v>137</v>
      </c>
    </row>
    <row r="5" spans="1:8" x14ac:dyDescent="0.4">
      <c r="A5" s="81" t="s">
        <v>140</v>
      </c>
    </row>
    <row r="6" spans="1:8" x14ac:dyDescent="0.4">
      <c r="A6" s="81" t="s">
        <v>138</v>
      </c>
    </row>
    <row r="8" spans="1:8" ht="19.5" x14ac:dyDescent="0.4">
      <c r="E8" s="106" t="s">
        <v>91</v>
      </c>
      <c r="F8" s="108">
        <f>COUNTA($B$11:$B$79)</f>
        <v>0</v>
      </c>
    </row>
    <row r="10" spans="1:8" x14ac:dyDescent="0.4">
      <c r="A10" s="109"/>
      <c r="B10" s="110" t="s">
        <v>130</v>
      </c>
      <c r="C10" s="110" t="s">
        <v>131</v>
      </c>
      <c r="D10" s="110" t="s">
        <v>132</v>
      </c>
      <c r="E10" s="110" t="s">
        <v>133</v>
      </c>
      <c r="F10" s="110" t="s">
        <v>134</v>
      </c>
      <c r="H10" s="81" t="s">
        <v>141</v>
      </c>
    </row>
    <row r="11" spans="1:8" x14ac:dyDescent="0.4">
      <c r="B11" s="88"/>
      <c r="C11" s="88"/>
      <c r="D11" s="88"/>
      <c r="E11" s="111"/>
      <c r="F11" s="88"/>
      <c r="H11" s="81" t="str">
        <f>IF(テーブル1[[#This Row],[姓]]="","",IF(AND(テーブル1[[#This Row],[コード]]&lt;&gt;"",テーブル1[[#This Row],[在籍開始日]]&lt;&gt;""),"OK","NG"))</f>
        <v/>
      </c>
    </row>
    <row r="12" spans="1:8" x14ac:dyDescent="0.4">
      <c r="B12" s="88"/>
      <c r="C12" s="88"/>
      <c r="D12" s="88"/>
      <c r="E12" s="111"/>
      <c r="F12" s="111"/>
      <c r="H12" s="81" t="str">
        <f>IF(テーブル1[[#This Row],[姓]]="","",IF(AND(テーブル1[[#This Row],[コード]]&lt;&gt;"",テーブル1[[#This Row],[在籍開始日]]&lt;&gt;""),"OK","NG"))</f>
        <v/>
      </c>
    </row>
    <row r="13" spans="1:8" x14ac:dyDescent="0.4">
      <c r="B13" s="88"/>
      <c r="C13" s="88"/>
      <c r="D13" s="88"/>
      <c r="E13" s="111"/>
      <c r="F13" s="88"/>
      <c r="H13" s="81" t="str">
        <f>IF(テーブル1[[#This Row],[姓]]="","",IF(AND(テーブル1[[#This Row],[コード]]&lt;&gt;"",テーブル1[[#This Row],[在籍開始日]]&lt;&gt;""),"OK","NG"))</f>
        <v/>
      </c>
    </row>
    <row r="14" spans="1:8" x14ac:dyDescent="0.4">
      <c r="B14" s="88"/>
      <c r="C14" s="88"/>
      <c r="D14" s="88"/>
      <c r="E14" s="111"/>
      <c r="F14" s="88"/>
      <c r="H14" s="81" t="str">
        <f>IF(テーブル1[[#This Row],[姓]]="","",IF(AND(テーブル1[[#This Row],[コード]]&lt;&gt;"",テーブル1[[#This Row],[在籍開始日]]&lt;&gt;""),"OK","NG"))</f>
        <v/>
      </c>
    </row>
    <row r="15" spans="1:8" x14ac:dyDescent="0.4">
      <c r="B15" s="88"/>
      <c r="C15" s="88"/>
      <c r="D15" s="88"/>
      <c r="E15" s="111"/>
      <c r="F15" s="88"/>
      <c r="H15" s="81" t="str">
        <f>IF(テーブル1[[#This Row],[姓]]="","",IF(AND(テーブル1[[#This Row],[コード]]&lt;&gt;"",テーブル1[[#This Row],[在籍開始日]]&lt;&gt;""),"OK","NG"))</f>
        <v/>
      </c>
    </row>
    <row r="16" spans="1:8" x14ac:dyDescent="0.4">
      <c r="B16" s="88"/>
      <c r="C16" s="88"/>
      <c r="D16" s="88"/>
      <c r="E16" s="111"/>
      <c r="F16" s="88"/>
      <c r="H16" s="81" t="str">
        <f>IF(テーブル1[[#This Row],[姓]]="","",IF(AND(テーブル1[[#This Row],[コード]]&lt;&gt;"",テーブル1[[#This Row],[在籍開始日]]&lt;&gt;""),"OK","NG"))</f>
        <v/>
      </c>
    </row>
    <row r="17" spans="2:8" x14ac:dyDescent="0.4">
      <c r="B17" s="88"/>
      <c r="C17" s="88"/>
      <c r="D17" s="88"/>
      <c r="E17" s="111"/>
      <c r="F17" s="88"/>
      <c r="H17" s="81" t="str">
        <f>IF(テーブル1[[#This Row],[姓]]="","",IF(AND(テーブル1[[#This Row],[コード]]&lt;&gt;"",テーブル1[[#This Row],[在籍開始日]]&lt;&gt;""),"OK","NG"))</f>
        <v/>
      </c>
    </row>
    <row r="18" spans="2:8" x14ac:dyDescent="0.4">
      <c r="B18" s="88"/>
      <c r="C18" s="88"/>
      <c r="D18" s="88"/>
      <c r="E18" s="111"/>
      <c r="F18" s="88"/>
      <c r="H18" s="81" t="str">
        <f>IF(テーブル1[[#This Row],[姓]]="","",IF(AND(テーブル1[[#This Row],[コード]]&lt;&gt;"",テーブル1[[#This Row],[在籍開始日]]&lt;&gt;""),"OK","NG"))</f>
        <v/>
      </c>
    </row>
    <row r="19" spans="2:8" x14ac:dyDescent="0.4">
      <c r="B19" s="88"/>
      <c r="C19" s="88"/>
      <c r="D19" s="88"/>
      <c r="E19" s="111"/>
      <c r="F19" s="88"/>
      <c r="H19" s="81" t="str">
        <f>IF(テーブル1[[#This Row],[姓]]="","",IF(AND(テーブル1[[#This Row],[コード]]&lt;&gt;"",テーブル1[[#This Row],[在籍開始日]]&lt;&gt;""),"OK","NG"))</f>
        <v/>
      </c>
    </row>
    <row r="20" spans="2:8" x14ac:dyDescent="0.4">
      <c r="B20" s="88"/>
      <c r="C20" s="88"/>
      <c r="D20" s="88"/>
      <c r="E20" s="111"/>
      <c r="F20" s="88"/>
      <c r="H20" s="81" t="str">
        <f>IF(テーブル1[[#This Row],[姓]]="","",IF(AND(テーブル1[[#This Row],[コード]]&lt;&gt;"",テーブル1[[#This Row],[在籍開始日]]&lt;&gt;""),"OK","NG"))</f>
        <v/>
      </c>
    </row>
    <row r="21" spans="2:8" x14ac:dyDescent="0.4">
      <c r="B21" s="88"/>
      <c r="C21" s="88"/>
      <c r="D21" s="88"/>
      <c r="E21" s="111"/>
      <c r="F21" s="88"/>
      <c r="H21" s="81" t="str">
        <f>IF(テーブル1[[#This Row],[姓]]="","",IF(AND(テーブル1[[#This Row],[コード]]&lt;&gt;"",テーブル1[[#This Row],[在籍開始日]]&lt;&gt;""),"OK","NG"))</f>
        <v/>
      </c>
    </row>
    <row r="22" spans="2:8" x14ac:dyDescent="0.4">
      <c r="B22" s="88"/>
      <c r="C22" s="88"/>
      <c r="D22" s="88"/>
      <c r="E22" s="111"/>
      <c r="F22" s="88"/>
      <c r="H22" s="81" t="str">
        <f>IF(テーブル1[[#This Row],[姓]]="","",IF(AND(テーブル1[[#This Row],[コード]]&lt;&gt;"",テーブル1[[#This Row],[在籍開始日]]&lt;&gt;""),"OK","NG"))</f>
        <v/>
      </c>
    </row>
    <row r="23" spans="2:8" x14ac:dyDescent="0.4">
      <c r="B23" s="88"/>
      <c r="C23" s="88"/>
      <c r="D23" s="88"/>
      <c r="E23" s="111"/>
      <c r="F23" s="88"/>
      <c r="H23" s="81" t="str">
        <f>IF(テーブル1[[#This Row],[姓]]="","",IF(AND(テーブル1[[#This Row],[コード]]&lt;&gt;"",テーブル1[[#This Row],[在籍開始日]]&lt;&gt;""),"OK","NG"))</f>
        <v/>
      </c>
    </row>
    <row r="24" spans="2:8" x14ac:dyDescent="0.4">
      <c r="B24" s="88"/>
      <c r="C24" s="88"/>
      <c r="D24" s="88"/>
      <c r="E24" s="111"/>
      <c r="F24" s="88"/>
      <c r="H24" s="81" t="str">
        <f>IF(テーブル1[[#This Row],[姓]]="","",IF(AND(テーブル1[[#This Row],[コード]]&lt;&gt;"",テーブル1[[#This Row],[在籍開始日]]&lt;&gt;""),"OK","NG"))</f>
        <v/>
      </c>
    </row>
    <row r="25" spans="2:8" x14ac:dyDescent="0.4">
      <c r="B25" s="88"/>
      <c r="C25" s="88"/>
      <c r="D25" s="88"/>
      <c r="E25" s="111"/>
      <c r="F25" s="88"/>
      <c r="H25" s="81" t="str">
        <f>IF(テーブル1[[#This Row],[姓]]="","",IF(AND(テーブル1[[#This Row],[コード]]&lt;&gt;"",テーブル1[[#This Row],[在籍開始日]]&lt;&gt;""),"OK","NG"))</f>
        <v/>
      </c>
    </row>
    <row r="26" spans="2:8" x14ac:dyDescent="0.4">
      <c r="B26" s="88"/>
      <c r="C26" s="88"/>
      <c r="D26" s="88"/>
      <c r="E26" s="111"/>
      <c r="F26" s="88"/>
      <c r="H26" s="81" t="str">
        <f>IF(テーブル1[[#This Row],[姓]]="","",IF(AND(テーブル1[[#This Row],[コード]]&lt;&gt;"",テーブル1[[#This Row],[在籍開始日]]&lt;&gt;""),"OK","NG"))</f>
        <v/>
      </c>
    </row>
    <row r="27" spans="2:8" x14ac:dyDescent="0.4">
      <c r="B27" s="88"/>
      <c r="C27" s="88"/>
      <c r="D27" s="88"/>
      <c r="E27" s="111"/>
      <c r="F27" s="88"/>
      <c r="H27" s="81" t="str">
        <f>IF(テーブル1[[#This Row],[姓]]="","",IF(AND(テーブル1[[#This Row],[コード]]&lt;&gt;"",テーブル1[[#This Row],[在籍開始日]]&lt;&gt;""),"OK","NG"))</f>
        <v/>
      </c>
    </row>
    <row r="28" spans="2:8" x14ac:dyDescent="0.4">
      <c r="B28" s="88"/>
      <c r="C28" s="88"/>
      <c r="D28" s="88"/>
      <c r="E28" s="111"/>
      <c r="F28" s="88"/>
      <c r="H28" s="81" t="str">
        <f>IF(テーブル1[[#This Row],[姓]]="","",IF(AND(テーブル1[[#This Row],[コード]]&lt;&gt;"",テーブル1[[#This Row],[在籍開始日]]&lt;&gt;""),"OK","NG"))</f>
        <v/>
      </c>
    </row>
    <row r="29" spans="2:8" x14ac:dyDescent="0.4">
      <c r="B29" s="88"/>
      <c r="C29" s="88"/>
      <c r="D29" s="88"/>
      <c r="E29" s="111"/>
      <c r="F29" s="88"/>
      <c r="H29" s="81" t="str">
        <f>IF(テーブル1[[#This Row],[姓]]="","",IF(AND(テーブル1[[#This Row],[コード]]&lt;&gt;"",テーブル1[[#This Row],[在籍開始日]]&lt;&gt;""),"OK","NG"))</f>
        <v/>
      </c>
    </row>
    <row r="30" spans="2:8" x14ac:dyDescent="0.4">
      <c r="B30" s="88"/>
      <c r="C30" s="88"/>
      <c r="D30" s="88"/>
      <c r="E30" s="111"/>
      <c r="F30" s="88"/>
      <c r="H30" s="81" t="str">
        <f>IF(テーブル1[[#This Row],[姓]]="","",IF(AND(テーブル1[[#This Row],[コード]]&lt;&gt;"",テーブル1[[#This Row],[在籍開始日]]&lt;&gt;""),"OK","NG"))</f>
        <v/>
      </c>
    </row>
    <row r="31" spans="2:8" x14ac:dyDescent="0.4">
      <c r="B31" s="88"/>
      <c r="C31" s="88"/>
      <c r="D31" s="88"/>
      <c r="E31" s="111"/>
      <c r="F31" s="88"/>
      <c r="H31" s="81" t="str">
        <f>IF(テーブル1[[#This Row],[姓]]="","",IF(AND(テーブル1[[#This Row],[コード]]&lt;&gt;"",テーブル1[[#This Row],[在籍開始日]]&lt;&gt;""),"OK","NG"))</f>
        <v/>
      </c>
    </row>
    <row r="32" spans="2:8" x14ac:dyDescent="0.4">
      <c r="B32" s="88"/>
      <c r="C32" s="88"/>
      <c r="D32" s="88"/>
      <c r="E32" s="111"/>
      <c r="F32" s="88"/>
      <c r="H32" s="81" t="str">
        <f>IF(テーブル1[[#This Row],[姓]]="","",IF(AND(テーブル1[[#This Row],[コード]]&lt;&gt;"",テーブル1[[#This Row],[在籍開始日]]&lt;&gt;""),"OK","NG"))</f>
        <v/>
      </c>
    </row>
    <row r="33" spans="2:8" x14ac:dyDescent="0.4">
      <c r="B33" s="88"/>
      <c r="C33" s="88"/>
      <c r="D33" s="88"/>
      <c r="E33" s="111"/>
      <c r="F33" s="88"/>
      <c r="H33" s="81" t="str">
        <f>IF(テーブル1[[#This Row],[姓]]="","",IF(AND(テーブル1[[#This Row],[コード]]&lt;&gt;"",テーブル1[[#This Row],[在籍開始日]]&lt;&gt;""),"OK","NG"))</f>
        <v/>
      </c>
    </row>
    <row r="34" spans="2:8" x14ac:dyDescent="0.4">
      <c r="B34" s="88"/>
      <c r="C34" s="88"/>
      <c r="D34" s="88"/>
      <c r="E34" s="111"/>
      <c r="F34" s="88"/>
      <c r="H34" s="81" t="str">
        <f>IF(テーブル1[[#This Row],[姓]]="","",IF(AND(テーブル1[[#This Row],[コード]]&lt;&gt;"",テーブル1[[#This Row],[在籍開始日]]&lt;&gt;""),"OK","NG"))</f>
        <v/>
      </c>
    </row>
    <row r="35" spans="2:8" x14ac:dyDescent="0.4">
      <c r="B35" s="88"/>
      <c r="C35" s="88"/>
      <c r="D35" s="88"/>
      <c r="E35" s="111"/>
      <c r="F35" s="88"/>
      <c r="H35" s="81" t="str">
        <f>IF(テーブル1[[#This Row],[姓]]="","",IF(AND(テーブル1[[#This Row],[コード]]&lt;&gt;"",テーブル1[[#This Row],[在籍開始日]]&lt;&gt;""),"OK","NG"))</f>
        <v/>
      </c>
    </row>
    <row r="36" spans="2:8" x14ac:dyDescent="0.4">
      <c r="B36" s="88"/>
      <c r="C36" s="88"/>
      <c r="D36" s="88"/>
      <c r="E36" s="111"/>
      <c r="F36" s="88"/>
      <c r="H36" s="81" t="str">
        <f>IF(テーブル1[[#This Row],[姓]]="","",IF(AND(テーブル1[[#This Row],[コード]]&lt;&gt;"",テーブル1[[#This Row],[在籍開始日]]&lt;&gt;""),"OK","NG"))</f>
        <v/>
      </c>
    </row>
    <row r="37" spans="2:8" x14ac:dyDescent="0.4">
      <c r="B37" s="88"/>
      <c r="C37" s="88"/>
      <c r="D37" s="88"/>
      <c r="E37" s="111"/>
      <c r="F37" s="88"/>
      <c r="H37" s="81" t="str">
        <f>IF(テーブル1[[#This Row],[姓]]="","",IF(AND(テーブル1[[#This Row],[コード]]&lt;&gt;"",テーブル1[[#This Row],[在籍開始日]]&lt;&gt;""),"OK","NG"))</f>
        <v/>
      </c>
    </row>
    <row r="38" spans="2:8" x14ac:dyDescent="0.4">
      <c r="B38" s="88"/>
      <c r="C38" s="88"/>
      <c r="D38" s="88"/>
      <c r="E38" s="111"/>
      <c r="F38" s="88"/>
      <c r="H38" s="81" t="str">
        <f>IF(テーブル1[[#This Row],[姓]]="","",IF(AND(テーブル1[[#This Row],[コード]]&lt;&gt;"",テーブル1[[#This Row],[在籍開始日]]&lt;&gt;""),"OK","NG"))</f>
        <v/>
      </c>
    </row>
    <row r="39" spans="2:8" x14ac:dyDescent="0.4">
      <c r="B39" s="88"/>
      <c r="C39" s="88"/>
      <c r="D39" s="88"/>
      <c r="E39" s="111"/>
      <c r="F39" s="88"/>
      <c r="H39" s="81" t="str">
        <f>IF(テーブル1[[#This Row],[姓]]="","",IF(AND(テーブル1[[#This Row],[コード]]&lt;&gt;"",テーブル1[[#This Row],[在籍開始日]]&lt;&gt;""),"OK","NG"))</f>
        <v/>
      </c>
    </row>
    <row r="40" spans="2:8" x14ac:dyDescent="0.4">
      <c r="B40" s="88"/>
      <c r="C40" s="88"/>
      <c r="D40" s="88"/>
      <c r="E40" s="111"/>
      <c r="F40" s="88"/>
      <c r="H40" s="81" t="str">
        <f>IF(テーブル1[[#This Row],[姓]]="","",IF(AND(テーブル1[[#This Row],[コード]]&lt;&gt;"",テーブル1[[#This Row],[在籍開始日]]&lt;&gt;""),"OK","NG"))</f>
        <v/>
      </c>
    </row>
    <row r="41" spans="2:8" x14ac:dyDescent="0.4">
      <c r="B41" s="88"/>
      <c r="C41" s="88"/>
      <c r="D41" s="88"/>
      <c r="E41" s="111"/>
      <c r="F41" s="88"/>
      <c r="H41" s="81" t="str">
        <f>IF(テーブル1[[#This Row],[姓]]="","",IF(AND(テーブル1[[#This Row],[コード]]&lt;&gt;"",テーブル1[[#This Row],[在籍開始日]]&lt;&gt;""),"OK","NG"))</f>
        <v/>
      </c>
    </row>
    <row r="42" spans="2:8" x14ac:dyDescent="0.4">
      <c r="B42" s="88"/>
      <c r="C42" s="88"/>
      <c r="D42" s="88"/>
      <c r="E42" s="111"/>
      <c r="F42" s="88"/>
      <c r="H42" s="81" t="str">
        <f>IF(テーブル1[[#This Row],[姓]]="","",IF(AND(テーブル1[[#This Row],[コード]]&lt;&gt;"",テーブル1[[#This Row],[在籍開始日]]&lt;&gt;""),"OK","NG"))</f>
        <v/>
      </c>
    </row>
    <row r="43" spans="2:8" x14ac:dyDescent="0.4">
      <c r="B43" s="88"/>
      <c r="C43" s="88"/>
      <c r="D43" s="88"/>
      <c r="E43" s="111"/>
      <c r="F43" s="88"/>
      <c r="H43" s="81" t="str">
        <f>IF(テーブル1[[#This Row],[姓]]="","",IF(AND(テーブル1[[#This Row],[コード]]&lt;&gt;"",テーブル1[[#This Row],[在籍開始日]]&lt;&gt;""),"OK","NG"))</f>
        <v/>
      </c>
    </row>
    <row r="44" spans="2:8" x14ac:dyDescent="0.4">
      <c r="B44" s="88"/>
      <c r="C44" s="88"/>
      <c r="D44" s="88"/>
      <c r="E44" s="111"/>
      <c r="F44" s="88"/>
      <c r="H44" s="81" t="str">
        <f>IF(テーブル1[[#This Row],[姓]]="","",IF(AND(テーブル1[[#This Row],[コード]]&lt;&gt;"",テーブル1[[#This Row],[在籍開始日]]&lt;&gt;""),"OK","NG"))</f>
        <v/>
      </c>
    </row>
    <row r="45" spans="2:8" x14ac:dyDescent="0.4">
      <c r="B45" s="88"/>
      <c r="C45" s="88"/>
      <c r="D45" s="88"/>
      <c r="E45" s="111"/>
      <c r="F45" s="88"/>
      <c r="H45" s="81" t="str">
        <f>IF(テーブル1[[#This Row],[姓]]="","",IF(AND(テーブル1[[#This Row],[コード]]&lt;&gt;"",テーブル1[[#This Row],[在籍開始日]]&lt;&gt;""),"OK","NG"))</f>
        <v/>
      </c>
    </row>
    <row r="46" spans="2:8" x14ac:dyDescent="0.4">
      <c r="B46" s="88"/>
      <c r="C46" s="88"/>
      <c r="D46" s="88"/>
      <c r="E46" s="111"/>
      <c r="F46" s="88"/>
      <c r="H46" s="81" t="str">
        <f>IF(テーブル1[[#This Row],[姓]]="","",IF(AND(テーブル1[[#This Row],[コード]]&lt;&gt;"",テーブル1[[#This Row],[在籍開始日]]&lt;&gt;""),"OK","NG"))</f>
        <v/>
      </c>
    </row>
    <row r="47" spans="2:8" x14ac:dyDescent="0.4">
      <c r="B47" s="88"/>
      <c r="C47" s="88"/>
      <c r="D47" s="88"/>
      <c r="E47" s="111"/>
      <c r="F47" s="88"/>
      <c r="H47" s="81" t="str">
        <f>IF(テーブル1[[#This Row],[姓]]="","",IF(AND(テーブル1[[#This Row],[コード]]&lt;&gt;"",テーブル1[[#This Row],[在籍開始日]]&lt;&gt;""),"OK","NG"))</f>
        <v/>
      </c>
    </row>
    <row r="48" spans="2:8" x14ac:dyDescent="0.4">
      <c r="B48" s="88"/>
      <c r="C48" s="88"/>
      <c r="D48" s="88"/>
      <c r="E48" s="111"/>
      <c r="F48" s="88"/>
      <c r="H48" s="81" t="str">
        <f>IF(テーブル1[[#This Row],[姓]]="","",IF(AND(テーブル1[[#This Row],[コード]]&lt;&gt;"",テーブル1[[#This Row],[在籍開始日]]&lt;&gt;""),"OK","NG"))</f>
        <v/>
      </c>
    </row>
    <row r="49" spans="2:8" x14ac:dyDescent="0.4">
      <c r="B49" s="88"/>
      <c r="C49" s="88"/>
      <c r="D49" s="88"/>
      <c r="E49" s="111"/>
      <c r="F49" s="88"/>
      <c r="H49" s="81" t="str">
        <f>IF(テーブル1[[#This Row],[姓]]="","",IF(AND(テーブル1[[#This Row],[コード]]&lt;&gt;"",テーブル1[[#This Row],[在籍開始日]]&lt;&gt;""),"OK","NG"))</f>
        <v/>
      </c>
    </row>
    <row r="50" spans="2:8" x14ac:dyDescent="0.4">
      <c r="B50" s="88"/>
      <c r="C50" s="88"/>
      <c r="D50" s="88"/>
      <c r="E50" s="111"/>
      <c r="F50" s="88"/>
      <c r="H50" s="81" t="str">
        <f>IF(テーブル1[[#This Row],[姓]]="","",IF(AND(テーブル1[[#This Row],[コード]]&lt;&gt;"",テーブル1[[#This Row],[在籍開始日]]&lt;&gt;""),"OK","NG"))</f>
        <v/>
      </c>
    </row>
    <row r="51" spans="2:8" x14ac:dyDescent="0.4">
      <c r="E51" s="107"/>
    </row>
    <row r="52" spans="2:8" x14ac:dyDescent="0.4">
      <c r="E52" s="107"/>
    </row>
    <row r="53" spans="2:8" x14ac:dyDescent="0.4">
      <c r="E53" s="107"/>
    </row>
    <row r="54" spans="2:8" x14ac:dyDescent="0.4">
      <c r="E54" s="107"/>
    </row>
    <row r="55" spans="2:8" x14ac:dyDescent="0.4">
      <c r="E55" s="107"/>
    </row>
    <row r="56" spans="2:8" x14ac:dyDescent="0.4">
      <c r="E56" s="107"/>
    </row>
    <row r="57" spans="2:8" x14ac:dyDescent="0.4">
      <c r="E57" s="107"/>
    </row>
    <row r="58" spans="2:8" x14ac:dyDescent="0.4">
      <c r="E58" s="107"/>
    </row>
    <row r="59" spans="2:8" x14ac:dyDescent="0.4">
      <c r="E59" s="107"/>
    </row>
    <row r="60" spans="2:8" x14ac:dyDescent="0.4">
      <c r="E60" s="107"/>
    </row>
    <row r="61" spans="2:8" x14ac:dyDescent="0.4">
      <c r="E61" s="107"/>
    </row>
    <row r="62" spans="2:8" x14ac:dyDescent="0.4">
      <c r="E62" s="107"/>
    </row>
    <row r="63" spans="2:8" x14ac:dyDescent="0.4">
      <c r="E63" s="107"/>
    </row>
    <row r="64" spans="2:8" x14ac:dyDescent="0.4">
      <c r="E64" s="107"/>
    </row>
    <row r="65" spans="5:5" x14ac:dyDescent="0.4">
      <c r="E65" s="107"/>
    </row>
    <row r="66" spans="5:5" x14ac:dyDescent="0.4">
      <c r="E66" s="107"/>
    </row>
    <row r="67" spans="5:5" x14ac:dyDescent="0.4">
      <c r="E67" s="107"/>
    </row>
    <row r="68" spans="5:5" x14ac:dyDescent="0.4">
      <c r="E68" s="107"/>
    </row>
    <row r="69" spans="5:5" x14ac:dyDescent="0.4">
      <c r="E69" s="107"/>
    </row>
    <row r="70" spans="5:5" x14ac:dyDescent="0.4">
      <c r="E70" s="107"/>
    </row>
    <row r="71" spans="5:5" x14ac:dyDescent="0.4">
      <c r="E71" s="107"/>
    </row>
    <row r="72" spans="5:5" x14ac:dyDescent="0.4">
      <c r="E72" s="107"/>
    </row>
    <row r="73" spans="5:5" x14ac:dyDescent="0.4">
      <c r="E73" s="107"/>
    </row>
    <row r="74" spans="5:5" x14ac:dyDescent="0.4">
      <c r="E74" s="107"/>
    </row>
    <row r="75" spans="5:5" x14ac:dyDescent="0.4">
      <c r="E75" s="107"/>
    </row>
    <row r="76" spans="5:5" x14ac:dyDescent="0.4">
      <c r="E76" s="107"/>
    </row>
    <row r="77" spans="5:5" x14ac:dyDescent="0.4">
      <c r="E77" s="107"/>
    </row>
    <row r="78" spans="5:5" x14ac:dyDescent="0.4">
      <c r="E78" s="107"/>
    </row>
    <row r="79" spans="5:5" x14ac:dyDescent="0.4">
      <c r="E79" s="107"/>
    </row>
  </sheetData>
  <sheetProtection algorithmName="SHA-512" hashValue="k0d7SMezHF+H9YQa9OSe2bmgNEvYMqwQAmFSpvIJtEnrIACeP5Iv1kJJ1FxN/imxJKLTGK6MqLVOVdUX84OJtA==" saltValue="2b8ozyx4FGdEf3PHhO8CrQ==" spinCount="100000" sheet="1" objects="1" selectLockedCells="1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_namelist.saiban">
                <anchor moveWithCells="1" sizeWithCells="1">
                  <from>
                    <xdr:col>1</xdr:col>
                    <xdr:colOff>0</xdr:colOff>
                    <xdr:row>7</xdr:row>
                    <xdr:rowOff>238125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_namelist.SetEnrollmentStartDate">
                <anchor moveWithCells="1" siz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5</xdr:col>
                    <xdr:colOff>9525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70"/>
  <sheetViews>
    <sheetView zoomScaleNormal="100" workbookViewId="0">
      <selection activeCell="J4" sqref="J4"/>
    </sheetView>
  </sheetViews>
  <sheetFormatPr defaultColWidth="9" defaultRowHeight="18.75" zeroHeight="1" x14ac:dyDescent="0.4"/>
  <cols>
    <col min="1" max="1" width="2.625" style="66" customWidth="1"/>
    <col min="2" max="2" width="9.5" style="65" customWidth="1"/>
    <col min="3" max="3" width="13.125" style="66" bestFit="1" customWidth="1"/>
    <col min="4" max="8" width="10" style="66" customWidth="1"/>
    <col min="9" max="9" width="10" style="121" customWidth="1"/>
    <col min="10" max="10" width="19.125" style="121" customWidth="1"/>
    <col min="11" max="11" width="24.375" style="121" customWidth="1"/>
    <col min="12" max="12" width="13.25" style="121" customWidth="1"/>
    <col min="13" max="13" width="9" style="121" customWidth="1"/>
    <col min="14" max="14" width="11.375" style="121" customWidth="1"/>
    <col min="15" max="22" width="9" style="121" customWidth="1"/>
    <col min="23" max="16384" width="9" style="66"/>
  </cols>
  <sheetData>
    <row r="1" spans="1:26" ht="6.75" customHeight="1" x14ac:dyDescent="0.4">
      <c r="A1" s="121"/>
      <c r="B1" s="122"/>
      <c r="C1" s="121"/>
      <c r="D1" s="121"/>
      <c r="E1" s="121"/>
      <c r="F1" s="121"/>
      <c r="G1" s="121"/>
      <c r="H1" s="121"/>
    </row>
    <row r="2" spans="1:26" ht="42.75" x14ac:dyDescent="0.85">
      <c r="A2" s="121"/>
      <c r="B2" s="123" t="s">
        <v>62</v>
      </c>
      <c r="C2" s="121"/>
      <c r="D2" s="121"/>
      <c r="E2" s="121"/>
      <c r="F2" s="121"/>
      <c r="G2" s="121"/>
      <c r="H2" s="121"/>
    </row>
    <row r="3" spans="1:26" ht="19.5" customHeight="1" x14ac:dyDescent="0.4">
      <c r="A3" s="121"/>
      <c r="B3" s="122" t="s">
        <v>63</v>
      </c>
      <c r="C3" s="121"/>
      <c r="D3" s="121"/>
      <c r="E3" s="121"/>
      <c r="F3" s="121"/>
      <c r="G3" s="121"/>
      <c r="H3" s="121"/>
    </row>
    <row r="4" spans="1:26" s="69" customFormat="1" ht="24" x14ac:dyDescent="0.5">
      <c r="A4" s="124"/>
      <c r="B4" s="125"/>
      <c r="C4" s="126" t="s">
        <v>81</v>
      </c>
      <c r="D4" s="112"/>
      <c r="E4" s="79" t="s">
        <v>85</v>
      </c>
      <c r="F4" s="113"/>
      <c r="G4" s="130"/>
      <c r="H4" s="130"/>
      <c r="I4" s="130" t="s">
        <v>86</v>
      </c>
      <c r="J4" s="114">
        <v>46070</v>
      </c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68"/>
      <c r="X4" s="68"/>
      <c r="Y4" s="68"/>
      <c r="Z4" s="68"/>
    </row>
    <row r="5" spans="1:26" ht="3.75" customHeight="1" x14ac:dyDescent="0.4">
      <c r="A5" s="121"/>
      <c r="B5" s="122"/>
      <c r="C5" s="127"/>
      <c r="D5" s="137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71"/>
      <c r="X5" s="71"/>
      <c r="Y5" s="71"/>
      <c r="Z5" s="71"/>
    </row>
    <row r="6" spans="1:26" s="69" customFormat="1" ht="24" x14ac:dyDescent="0.5">
      <c r="A6" s="124"/>
      <c r="B6" s="125"/>
      <c r="C6" s="126" t="s">
        <v>82</v>
      </c>
      <c r="D6" s="167"/>
      <c r="E6" s="167"/>
      <c r="F6" s="167"/>
      <c r="G6" s="167"/>
      <c r="H6" s="167"/>
      <c r="I6" s="167"/>
      <c r="J6" s="167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68"/>
      <c r="X6" s="68"/>
      <c r="Y6" s="68"/>
      <c r="Z6" s="68"/>
    </row>
    <row r="7" spans="1:26" ht="3.75" customHeight="1" x14ac:dyDescent="0.4">
      <c r="A7" s="121"/>
      <c r="B7" s="122"/>
      <c r="C7" s="127"/>
      <c r="D7" s="70"/>
      <c r="E7" s="71"/>
      <c r="F7" s="71"/>
      <c r="G7" s="71"/>
      <c r="H7" s="7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71"/>
      <c r="X7" s="71"/>
      <c r="Y7" s="71"/>
      <c r="Z7" s="71"/>
    </row>
    <row r="8" spans="1:26" s="69" customFormat="1" ht="24" x14ac:dyDescent="0.5">
      <c r="A8" s="124"/>
      <c r="B8" s="125"/>
      <c r="C8" s="126" t="s">
        <v>83</v>
      </c>
      <c r="D8" s="116"/>
      <c r="E8" s="116"/>
      <c r="F8" s="116"/>
      <c r="G8" s="116"/>
      <c r="H8" s="116"/>
      <c r="I8" s="132"/>
      <c r="J8" s="138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68"/>
      <c r="X8" s="68"/>
      <c r="Y8" s="68"/>
      <c r="Z8" s="68"/>
    </row>
    <row r="9" spans="1:26" s="69" customFormat="1" ht="3.75" customHeight="1" x14ac:dyDescent="0.5">
      <c r="A9" s="124"/>
      <c r="B9" s="125"/>
      <c r="C9" s="126"/>
      <c r="D9" s="72"/>
      <c r="E9" s="72"/>
      <c r="F9" s="72"/>
      <c r="G9" s="72"/>
      <c r="H9" s="72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68"/>
      <c r="X9" s="68"/>
      <c r="Y9" s="68"/>
      <c r="Z9" s="68"/>
    </row>
    <row r="10" spans="1:26" s="69" customFormat="1" ht="24" x14ac:dyDescent="0.5">
      <c r="A10" s="124"/>
      <c r="B10" s="125"/>
      <c r="C10" s="126" t="s">
        <v>65</v>
      </c>
      <c r="D10" s="117"/>
      <c r="E10" s="117"/>
      <c r="F10" s="117"/>
      <c r="G10" s="117"/>
      <c r="H10" s="117"/>
      <c r="I10" s="132"/>
      <c r="J10" s="130"/>
      <c r="K10" s="130"/>
      <c r="L10" s="133" t="s">
        <v>129</v>
      </c>
      <c r="M10" s="138" t="b">
        <v>0</v>
      </c>
      <c r="N10" s="130"/>
      <c r="O10" s="130"/>
      <c r="P10" s="130"/>
      <c r="Q10" s="130"/>
      <c r="R10" s="130"/>
      <c r="S10" s="130"/>
      <c r="T10" s="130"/>
      <c r="U10" s="130"/>
      <c r="V10" s="130"/>
      <c r="W10" s="68"/>
      <c r="X10" s="68"/>
      <c r="Y10" s="68"/>
      <c r="Z10" s="68"/>
    </row>
    <row r="11" spans="1:26" s="69" customFormat="1" ht="3.75" customHeight="1" x14ac:dyDescent="0.5">
      <c r="A11" s="124"/>
      <c r="B11" s="125"/>
      <c r="C11" s="126"/>
      <c r="D11" s="72"/>
      <c r="E11" s="72"/>
      <c r="F11" s="72"/>
      <c r="G11" s="72"/>
      <c r="H11" s="72"/>
      <c r="I11" s="132"/>
      <c r="J11" s="130"/>
      <c r="K11" s="130"/>
      <c r="L11" s="133"/>
      <c r="M11" s="138"/>
      <c r="N11" s="130"/>
      <c r="O11" s="130"/>
      <c r="P11" s="130"/>
      <c r="Q11" s="130"/>
      <c r="R11" s="130"/>
      <c r="S11" s="130"/>
      <c r="T11" s="130"/>
      <c r="U11" s="130"/>
      <c r="V11" s="130"/>
      <c r="W11" s="68"/>
      <c r="X11" s="68"/>
      <c r="Y11" s="68"/>
      <c r="Z11" s="68"/>
    </row>
    <row r="12" spans="1:26" s="69" customFormat="1" ht="25.5" customHeight="1" x14ac:dyDescent="0.5">
      <c r="A12" s="124"/>
      <c r="B12" s="125"/>
      <c r="C12" s="126" t="s">
        <v>84</v>
      </c>
      <c r="D12" s="112"/>
      <c r="E12" s="115"/>
      <c r="F12" s="115"/>
      <c r="G12" s="116"/>
      <c r="H12" s="116"/>
      <c r="I12" s="132"/>
      <c r="J12" s="130"/>
      <c r="K12" s="130"/>
      <c r="L12" s="133" t="s">
        <v>66</v>
      </c>
      <c r="M12" s="138" t="b">
        <v>1</v>
      </c>
      <c r="N12" s="130">
        <f>IF(M12,1,0)</f>
        <v>1</v>
      </c>
      <c r="O12" s="130"/>
      <c r="P12" s="130"/>
      <c r="Q12" s="130"/>
      <c r="R12" s="130"/>
      <c r="S12" s="130"/>
      <c r="T12" s="130"/>
      <c r="U12" s="130"/>
      <c r="V12" s="130"/>
      <c r="W12" s="68"/>
      <c r="X12" s="68"/>
      <c r="Y12" s="68"/>
      <c r="Z12" s="68"/>
    </row>
    <row r="13" spans="1:26" s="69" customFormat="1" ht="3.75" customHeight="1" x14ac:dyDescent="0.5">
      <c r="A13" s="124"/>
      <c r="B13" s="125"/>
      <c r="C13" s="126"/>
      <c r="D13" s="72"/>
      <c r="E13" s="72"/>
      <c r="F13" s="72"/>
      <c r="G13" s="72"/>
      <c r="H13" s="72"/>
      <c r="I13" s="132"/>
      <c r="J13" s="130"/>
      <c r="K13" s="130"/>
      <c r="L13" s="133"/>
      <c r="M13" s="138"/>
      <c r="N13" s="130"/>
      <c r="O13" s="130"/>
      <c r="P13" s="130"/>
      <c r="Q13" s="130"/>
      <c r="R13" s="130"/>
      <c r="S13" s="130"/>
      <c r="T13" s="130"/>
      <c r="U13" s="130"/>
      <c r="V13" s="130"/>
      <c r="W13" s="68"/>
      <c r="X13" s="68"/>
      <c r="Y13" s="68"/>
      <c r="Z13" s="68"/>
    </row>
    <row r="14" spans="1:26" s="69" customFormat="1" ht="24" customHeight="1" x14ac:dyDescent="0.5">
      <c r="A14" s="124"/>
      <c r="B14" s="125"/>
      <c r="C14" s="126" t="s">
        <v>68</v>
      </c>
      <c r="D14" s="73"/>
      <c r="E14" s="73"/>
      <c r="F14" s="73"/>
      <c r="G14" s="73"/>
      <c r="H14" s="73"/>
      <c r="I14" s="132"/>
      <c r="J14" s="130"/>
      <c r="K14" s="130"/>
      <c r="L14" s="134" t="s">
        <v>76</v>
      </c>
      <c r="M14" s="138" t="b">
        <v>1</v>
      </c>
      <c r="N14" s="130">
        <f>IF(M14,1,0)</f>
        <v>1</v>
      </c>
      <c r="O14" s="130"/>
      <c r="P14" s="130"/>
      <c r="Q14" s="130"/>
      <c r="R14" s="130"/>
      <c r="S14" s="130"/>
      <c r="T14" s="130"/>
      <c r="U14" s="130"/>
      <c r="V14" s="130"/>
      <c r="W14" s="68"/>
      <c r="X14" s="68"/>
      <c r="Y14" s="68"/>
      <c r="Z14" s="68"/>
    </row>
    <row r="15" spans="1:26" s="69" customFormat="1" ht="3.75" customHeight="1" x14ac:dyDescent="0.5">
      <c r="A15" s="124"/>
      <c r="B15" s="125"/>
      <c r="C15" s="126"/>
      <c r="D15" s="72"/>
      <c r="E15" s="72"/>
      <c r="F15" s="72"/>
      <c r="G15" s="72"/>
      <c r="H15" s="72"/>
      <c r="I15" s="132"/>
      <c r="J15" s="130"/>
      <c r="K15" s="130"/>
      <c r="L15" s="134"/>
      <c r="M15" s="138"/>
      <c r="N15" s="130"/>
      <c r="O15" s="130"/>
      <c r="P15" s="130"/>
      <c r="Q15" s="130"/>
      <c r="R15" s="130"/>
      <c r="S15" s="130"/>
      <c r="T15" s="130"/>
      <c r="U15" s="130"/>
      <c r="V15" s="130"/>
      <c r="W15" s="68"/>
      <c r="X15" s="68"/>
      <c r="Y15" s="68"/>
      <c r="Z15" s="68"/>
    </row>
    <row r="16" spans="1:26" s="69" customFormat="1" ht="25.5" customHeight="1" x14ac:dyDescent="0.5">
      <c r="A16" s="124"/>
      <c r="B16" s="125"/>
      <c r="C16" s="126" t="s">
        <v>69</v>
      </c>
      <c r="D16" s="73"/>
      <c r="E16" s="73"/>
      <c r="F16" s="73"/>
      <c r="G16" s="73"/>
      <c r="H16" s="73"/>
      <c r="I16" s="132"/>
      <c r="J16" s="130"/>
      <c r="K16" s="130"/>
      <c r="L16" s="134" t="s">
        <v>77</v>
      </c>
      <c r="M16" s="138" t="b">
        <v>1</v>
      </c>
      <c r="N16" s="130">
        <f>IF(M16,1,0)</f>
        <v>1</v>
      </c>
      <c r="O16" s="130"/>
      <c r="P16" s="130"/>
      <c r="Q16" s="130"/>
      <c r="R16" s="130"/>
      <c r="S16" s="130"/>
      <c r="T16" s="130"/>
      <c r="U16" s="130"/>
      <c r="V16" s="130"/>
      <c r="W16" s="68"/>
      <c r="X16" s="68"/>
      <c r="Y16" s="68"/>
      <c r="Z16" s="68"/>
    </row>
    <row r="17" spans="1:26" s="69" customFormat="1" ht="3.75" customHeight="1" x14ac:dyDescent="0.5">
      <c r="A17" s="124"/>
      <c r="B17" s="125"/>
      <c r="C17" s="126"/>
      <c r="D17" s="72"/>
      <c r="E17" s="72"/>
      <c r="F17" s="72"/>
      <c r="G17" s="72"/>
      <c r="H17" s="72"/>
      <c r="I17" s="132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68"/>
      <c r="X17" s="68"/>
      <c r="Y17" s="68"/>
      <c r="Z17" s="68"/>
    </row>
    <row r="18" spans="1:26" s="69" customFormat="1" ht="25.5" customHeight="1" x14ac:dyDescent="0.5">
      <c r="A18" s="124"/>
      <c r="B18" s="125"/>
      <c r="C18" s="126" t="s">
        <v>67</v>
      </c>
      <c r="D18" s="74"/>
      <c r="E18" s="74"/>
      <c r="F18" s="74"/>
      <c r="G18" s="74"/>
      <c r="H18" s="74"/>
      <c r="I18" s="132"/>
      <c r="J18" s="130"/>
      <c r="K18" s="130"/>
      <c r="L18" s="130"/>
      <c r="M18" s="130"/>
      <c r="N18" s="130">
        <f>SUM(N16,N14,N12)</f>
        <v>3</v>
      </c>
      <c r="O18" s="130"/>
      <c r="P18" s="130"/>
      <c r="Q18" s="130"/>
      <c r="R18" s="130"/>
      <c r="S18" s="130"/>
      <c r="T18" s="130"/>
      <c r="U18" s="130"/>
      <c r="V18" s="130"/>
      <c r="W18" s="68"/>
      <c r="X18" s="68"/>
      <c r="Y18" s="68"/>
      <c r="Z18" s="68"/>
    </row>
    <row r="19" spans="1:26" s="69" customFormat="1" ht="3.75" customHeight="1" x14ac:dyDescent="0.5">
      <c r="A19" s="124"/>
      <c r="B19" s="125"/>
      <c r="C19" s="126"/>
      <c r="D19" s="72"/>
      <c r="E19" s="72"/>
      <c r="F19" s="72"/>
      <c r="G19" s="72"/>
      <c r="H19" s="72"/>
      <c r="I19" s="132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68"/>
      <c r="X19" s="68"/>
      <c r="Y19" s="68"/>
      <c r="Z19" s="68"/>
    </row>
    <row r="20" spans="1:26" s="69" customFormat="1" ht="25.5" customHeight="1" x14ac:dyDescent="0.5">
      <c r="A20" s="124"/>
      <c r="B20" s="125"/>
      <c r="C20" s="126" t="s">
        <v>70</v>
      </c>
      <c r="D20" s="75"/>
      <c r="E20" s="75"/>
      <c r="F20" s="75"/>
      <c r="G20" s="75"/>
      <c r="H20" s="75"/>
      <c r="I20" s="132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68"/>
      <c r="X20" s="68"/>
      <c r="Y20" s="68"/>
      <c r="Z20" s="68"/>
    </row>
    <row r="21" spans="1:26" s="69" customFormat="1" ht="3.75" customHeight="1" x14ac:dyDescent="0.5">
      <c r="A21" s="124"/>
      <c r="B21" s="125"/>
      <c r="C21" s="126"/>
      <c r="D21" s="72"/>
      <c r="E21" s="72"/>
      <c r="F21" s="72"/>
      <c r="G21" s="72"/>
      <c r="H21" s="72"/>
      <c r="I21" s="132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68"/>
      <c r="X21" s="68"/>
      <c r="Y21" s="68"/>
      <c r="Z21" s="68"/>
    </row>
    <row r="22" spans="1:26" s="69" customFormat="1" ht="24" customHeight="1" x14ac:dyDescent="0.5">
      <c r="A22" s="124" t="s">
        <v>71</v>
      </c>
      <c r="B22" s="125"/>
      <c r="C22" s="126" t="s">
        <v>72</v>
      </c>
      <c r="D22" s="76"/>
      <c r="E22" s="77"/>
      <c r="F22" s="77"/>
      <c r="G22" s="77"/>
      <c r="H22" s="77"/>
      <c r="I22" s="132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68"/>
      <c r="X22" s="68"/>
      <c r="Y22" s="68"/>
      <c r="Z22" s="68"/>
    </row>
    <row r="23" spans="1:26" s="69" customFormat="1" ht="3.75" customHeight="1" x14ac:dyDescent="0.5">
      <c r="A23" s="124"/>
      <c r="B23" s="125"/>
      <c r="C23" s="126"/>
      <c r="D23" s="72"/>
      <c r="E23" s="72"/>
      <c r="F23" s="72"/>
      <c r="G23" s="72"/>
      <c r="H23" s="72"/>
      <c r="I23" s="135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68"/>
      <c r="X23" s="68"/>
      <c r="Y23" s="68"/>
      <c r="Z23" s="68"/>
    </row>
    <row r="24" spans="1:26" s="69" customFormat="1" ht="24" customHeight="1" x14ac:dyDescent="0.5">
      <c r="A24" s="124"/>
      <c r="B24" s="125"/>
      <c r="C24" s="126" t="s">
        <v>73</v>
      </c>
      <c r="D24" s="78" t="str" cm="1">
        <f t="array" ref="D24">IF(D12="","",調整後配点計算(D12,D14,D18,D20))</f>
        <v/>
      </c>
      <c r="E24" s="78" t="str" cm="1">
        <f t="array" ref="E24">IF(E12="","",調整後配点計算(E12,E14,E18,E20))</f>
        <v/>
      </c>
      <c r="F24" s="78" t="str" cm="1">
        <f t="array" ref="F24">IF(F12="","",調整後配点計算(F12,F14,F18,F20))</f>
        <v/>
      </c>
      <c r="G24" s="78" t="str" cm="1">
        <f t="array" ref="G24">IF(G12="","",調整後配点計算(G12,G14,G18,G20))</f>
        <v/>
      </c>
      <c r="H24" s="78"/>
      <c r="I24" s="135"/>
      <c r="J24" s="130"/>
      <c r="K24" s="130"/>
      <c r="L24" s="124"/>
      <c r="M24" s="124"/>
      <c r="N24" s="124"/>
      <c r="O24" s="130"/>
      <c r="P24" s="130"/>
      <c r="Q24" s="130"/>
      <c r="R24" s="130"/>
      <c r="S24" s="130"/>
      <c r="T24" s="130"/>
      <c r="U24" s="130"/>
      <c r="V24" s="130"/>
      <c r="W24" s="68"/>
      <c r="X24" s="68"/>
      <c r="Y24" s="68"/>
      <c r="Z24" s="68"/>
    </row>
    <row r="25" spans="1:26" s="69" customFormat="1" ht="3.75" customHeight="1" x14ac:dyDescent="0.5">
      <c r="A25" s="124"/>
      <c r="B25" s="125"/>
      <c r="C25" s="126"/>
      <c r="D25" s="72"/>
      <c r="E25" s="72"/>
      <c r="F25" s="72"/>
      <c r="G25" s="72"/>
      <c r="H25" s="72"/>
      <c r="I25" s="135"/>
      <c r="J25" s="130"/>
      <c r="K25" s="130"/>
      <c r="L25" s="124"/>
      <c r="M25" s="124"/>
      <c r="N25" s="124"/>
      <c r="O25" s="130"/>
      <c r="P25" s="130"/>
      <c r="Q25" s="130"/>
      <c r="R25" s="130"/>
      <c r="S25" s="130"/>
      <c r="T25" s="130"/>
      <c r="U25" s="130"/>
      <c r="V25" s="130"/>
      <c r="W25" s="68"/>
      <c r="X25" s="68"/>
      <c r="Y25" s="68"/>
      <c r="Z25" s="68"/>
    </row>
    <row r="26" spans="1:26" s="69" customFormat="1" ht="24" x14ac:dyDescent="0.5">
      <c r="A26" s="124"/>
      <c r="B26" s="125"/>
      <c r="C26" s="126" t="s">
        <v>64</v>
      </c>
      <c r="D26" s="112"/>
      <c r="E26" s="115"/>
      <c r="F26" s="115"/>
      <c r="G26" s="115"/>
      <c r="H26" s="115"/>
      <c r="I26" s="135" t="s">
        <v>92</v>
      </c>
      <c r="J26" s="124"/>
      <c r="K26" s="130"/>
      <c r="L26" s="124"/>
      <c r="M26" s="124"/>
      <c r="N26" s="124"/>
      <c r="O26" s="130"/>
      <c r="P26" s="130"/>
      <c r="Q26" s="130"/>
      <c r="R26" s="130"/>
      <c r="S26" s="130"/>
      <c r="T26" s="130"/>
      <c r="U26" s="130"/>
      <c r="V26" s="130"/>
      <c r="W26" s="68"/>
      <c r="X26" s="68"/>
      <c r="Y26" s="68"/>
      <c r="Z26" s="68"/>
    </row>
    <row r="27" spans="1:26" s="69" customFormat="1" ht="3.75" hidden="1" customHeight="1" x14ac:dyDescent="0.5">
      <c r="A27" s="124"/>
      <c r="B27" s="125"/>
      <c r="C27" s="121"/>
      <c r="D27" s="66"/>
      <c r="E27" s="68"/>
      <c r="F27" s="68"/>
      <c r="G27" s="68"/>
      <c r="H27" s="68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68"/>
      <c r="X27" s="68"/>
      <c r="Y27" s="68"/>
      <c r="Z27" s="68"/>
    </row>
    <row r="28" spans="1:26" s="69" customFormat="1" ht="23.25" hidden="1" customHeight="1" x14ac:dyDescent="0.5">
      <c r="A28" s="124"/>
      <c r="B28" s="125"/>
      <c r="C28" s="126" t="s">
        <v>111</v>
      </c>
      <c r="D28" s="67"/>
      <c r="E28" s="67"/>
      <c r="F28" s="67"/>
      <c r="G28" s="67"/>
      <c r="H28" s="67"/>
      <c r="I28" s="135" t="s">
        <v>112</v>
      </c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68"/>
      <c r="X28" s="68"/>
      <c r="Y28" s="68"/>
      <c r="Z28" s="68"/>
    </row>
    <row r="29" spans="1:26" s="69" customFormat="1" ht="3.75" customHeight="1" thickBot="1" x14ac:dyDescent="0.55000000000000004">
      <c r="A29" s="128"/>
      <c r="B29" s="129"/>
      <c r="C29" s="129"/>
      <c r="D29" s="80"/>
      <c r="E29" s="80"/>
      <c r="F29" s="80"/>
      <c r="G29" s="80"/>
      <c r="H29" s="80"/>
      <c r="I29" s="136"/>
      <c r="J29" s="136"/>
      <c r="K29" s="136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68"/>
      <c r="X29" s="68"/>
      <c r="Y29" s="68"/>
      <c r="Z29" s="68"/>
    </row>
    <row r="30" spans="1:26" x14ac:dyDescent="0.4">
      <c r="B30" s="66" t="s">
        <v>74</v>
      </c>
      <c r="C30" s="66" t="s">
        <v>75</v>
      </c>
      <c r="E30" s="71"/>
      <c r="F30" s="71"/>
      <c r="G30" s="71"/>
      <c r="H30" s="71"/>
      <c r="I30" s="131"/>
      <c r="J30" s="131"/>
    </row>
    <row r="31" spans="1:26" x14ac:dyDescent="0.4">
      <c r="B31" t="str">
        <f>名簿!C11&amp;""</f>
        <v/>
      </c>
      <c r="C31" t="str">
        <f>名簿!D11&amp;""</f>
        <v/>
      </c>
      <c r="D31" s="118"/>
      <c r="E31" s="119"/>
      <c r="F31" s="119"/>
      <c r="G31" s="120"/>
      <c r="H31" s="120"/>
    </row>
    <row r="32" spans="1:26" x14ac:dyDescent="0.4">
      <c r="B32" t="str">
        <f>名簿!C12&amp;""</f>
        <v/>
      </c>
      <c r="C32" t="str">
        <f>名簿!D12&amp;""</f>
        <v/>
      </c>
      <c r="D32" s="118"/>
      <c r="E32" s="119"/>
      <c r="F32" s="119"/>
      <c r="G32" s="120"/>
      <c r="H32" s="120"/>
    </row>
    <row r="33" spans="2:8" x14ac:dyDescent="0.4">
      <c r="B33" t="str">
        <f>名簿!C13&amp;""</f>
        <v/>
      </c>
      <c r="C33" t="str">
        <f>名簿!D13&amp;""</f>
        <v/>
      </c>
      <c r="D33" s="118"/>
      <c r="E33" s="119"/>
      <c r="F33" s="119"/>
      <c r="G33" s="120"/>
      <c r="H33" s="120"/>
    </row>
    <row r="34" spans="2:8" x14ac:dyDescent="0.4">
      <c r="B34" t="str">
        <f>名簿!C14&amp;""</f>
        <v/>
      </c>
      <c r="C34" t="str">
        <f>名簿!D14&amp;""</f>
        <v/>
      </c>
      <c r="D34" s="118"/>
      <c r="E34" s="119"/>
      <c r="F34" s="119"/>
      <c r="G34" s="120"/>
      <c r="H34" s="120"/>
    </row>
    <row r="35" spans="2:8" x14ac:dyDescent="0.4">
      <c r="B35" t="str">
        <f>名簿!C15&amp;""</f>
        <v/>
      </c>
      <c r="C35" t="str">
        <f>名簿!D15&amp;""</f>
        <v/>
      </c>
      <c r="D35" s="118"/>
      <c r="E35" s="119"/>
      <c r="F35" s="119"/>
      <c r="G35" s="120"/>
      <c r="H35" s="120"/>
    </row>
    <row r="36" spans="2:8" x14ac:dyDescent="0.4">
      <c r="B36" t="str">
        <f>名簿!C16&amp;""</f>
        <v/>
      </c>
      <c r="C36" t="str">
        <f>名簿!D16&amp;""</f>
        <v/>
      </c>
      <c r="D36" s="118"/>
      <c r="E36" s="119"/>
      <c r="F36" s="119"/>
      <c r="G36" s="120"/>
      <c r="H36" s="120"/>
    </row>
    <row r="37" spans="2:8" x14ac:dyDescent="0.4">
      <c r="B37" t="str">
        <f>名簿!C17&amp;""</f>
        <v/>
      </c>
      <c r="C37" t="str">
        <f>名簿!D17&amp;""</f>
        <v/>
      </c>
      <c r="D37" s="118"/>
      <c r="E37" s="119"/>
      <c r="F37" s="119"/>
      <c r="G37" s="120"/>
      <c r="H37" s="120"/>
    </row>
    <row r="38" spans="2:8" x14ac:dyDescent="0.4">
      <c r="B38" t="str">
        <f>名簿!C18&amp;""</f>
        <v/>
      </c>
      <c r="C38" t="str">
        <f>名簿!D18&amp;""</f>
        <v/>
      </c>
      <c r="D38" s="118"/>
      <c r="E38" s="119"/>
      <c r="F38" s="119"/>
      <c r="G38" s="120"/>
      <c r="H38" s="120"/>
    </row>
    <row r="39" spans="2:8" x14ac:dyDescent="0.4">
      <c r="B39" t="str">
        <f>名簿!C19&amp;""</f>
        <v/>
      </c>
      <c r="C39" t="str">
        <f>名簿!D19&amp;""</f>
        <v/>
      </c>
      <c r="D39" s="118"/>
      <c r="E39" s="119"/>
      <c r="F39" s="119"/>
      <c r="G39" s="120"/>
      <c r="H39" s="120"/>
    </row>
    <row r="40" spans="2:8" x14ac:dyDescent="0.4">
      <c r="B40" t="str">
        <f>名簿!C20&amp;""</f>
        <v/>
      </c>
      <c r="C40" t="str">
        <f>名簿!D20&amp;""</f>
        <v/>
      </c>
      <c r="D40" s="118"/>
      <c r="E40" s="119"/>
      <c r="F40" s="119"/>
      <c r="G40" s="120"/>
      <c r="H40" s="120"/>
    </row>
    <row r="41" spans="2:8" x14ac:dyDescent="0.4">
      <c r="B41" t="str">
        <f>名簿!C21&amp;""</f>
        <v/>
      </c>
      <c r="C41" t="str">
        <f>名簿!D21&amp;""</f>
        <v/>
      </c>
      <c r="D41" s="118"/>
      <c r="E41" s="119"/>
      <c r="F41" s="119"/>
      <c r="G41" s="120"/>
      <c r="H41" s="120"/>
    </row>
    <row r="42" spans="2:8" x14ac:dyDescent="0.4">
      <c r="B42" t="str">
        <f>名簿!C22&amp;""</f>
        <v/>
      </c>
      <c r="C42" t="str">
        <f>名簿!D22&amp;""</f>
        <v/>
      </c>
      <c r="D42" s="118"/>
      <c r="E42" s="119"/>
      <c r="F42" s="119"/>
      <c r="G42" s="120"/>
      <c r="H42" s="120"/>
    </row>
    <row r="43" spans="2:8" x14ac:dyDescent="0.4">
      <c r="B43" t="str">
        <f>名簿!C23&amp;""</f>
        <v/>
      </c>
      <c r="C43" t="str">
        <f>名簿!D23&amp;""</f>
        <v/>
      </c>
      <c r="D43" s="118"/>
      <c r="E43" s="119"/>
      <c r="F43" s="119"/>
      <c r="G43" s="120"/>
      <c r="H43" s="120"/>
    </row>
    <row r="44" spans="2:8" x14ac:dyDescent="0.4">
      <c r="B44" t="str">
        <f>名簿!C24&amp;""</f>
        <v/>
      </c>
      <c r="C44" t="str">
        <f>名簿!D24&amp;""</f>
        <v/>
      </c>
      <c r="D44" s="118"/>
      <c r="E44" s="119"/>
      <c r="F44" s="119"/>
      <c r="G44" s="120"/>
      <c r="H44" s="120"/>
    </row>
    <row r="45" spans="2:8" x14ac:dyDescent="0.4">
      <c r="B45" t="str">
        <f>名簿!C25&amp;""</f>
        <v/>
      </c>
      <c r="C45" t="str">
        <f>名簿!D25&amp;""</f>
        <v/>
      </c>
      <c r="D45" s="118"/>
      <c r="E45" s="119"/>
      <c r="F45" s="119"/>
      <c r="G45" s="120"/>
      <c r="H45" s="120"/>
    </row>
    <row r="46" spans="2:8" x14ac:dyDescent="0.4">
      <c r="B46" t="str">
        <f>名簿!C26&amp;""</f>
        <v/>
      </c>
      <c r="C46" t="str">
        <f>名簿!D26&amp;""</f>
        <v/>
      </c>
      <c r="D46" s="118"/>
      <c r="E46" s="119"/>
      <c r="F46" s="119"/>
      <c r="G46" s="120"/>
      <c r="H46" s="120"/>
    </row>
    <row r="47" spans="2:8" x14ac:dyDescent="0.4">
      <c r="B47" t="str">
        <f>名簿!C27&amp;""</f>
        <v/>
      </c>
      <c r="C47" t="str">
        <f>名簿!D27&amp;""</f>
        <v/>
      </c>
      <c r="D47" s="118"/>
      <c r="E47" s="119"/>
      <c r="F47" s="119"/>
      <c r="G47" s="120"/>
      <c r="H47" s="120"/>
    </row>
    <row r="48" spans="2:8" x14ac:dyDescent="0.4">
      <c r="B48" t="str">
        <f>名簿!C28&amp;""</f>
        <v/>
      </c>
      <c r="C48" t="str">
        <f>名簿!D28&amp;""</f>
        <v/>
      </c>
      <c r="D48" s="118"/>
      <c r="E48" s="119"/>
      <c r="F48" s="119"/>
      <c r="G48" s="120"/>
      <c r="H48" s="120"/>
    </row>
    <row r="49" spans="2:8" x14ac:dyDescent="0.4">
      <c r="B49" t="str">
        <f>名簿!C29&amp;""</f>
        <v/>
      </c>
      <c r="C49" t="str">
        <f>名簿!D29&amp;""</f>
        <v/>
      </c>
      <c r="D49" s="118"/>
      <c r="E49" s="119"/>
      <c r="F49" s="119"/>
      <c r="G49" s="120"/>
      <c r="H49" s="120"/>
    </row>
    <row r="50" spans="2:8" x14ac:dyDescent="0.4">
      <c r="B50" t="str">
        <f>名簿!C30&amp;""</f>
        <v/>
      </c>
      <c r="C50" t="str">
        <f>名簿!D30&amp;""</f>
        <v/>
      </c>
      <c r="D50" s="118"/>
      <c r="E50" s="119"/>
      <c r="F50" s="119"/>
      <c r="G50" s="120"/>
      <c r="H50" s="120"/>
    </row>
    <row r="51" spans="2:8" x14ac:dyDescent="0.4">
      <c r="B51" t="str">
        <f>名簿!C31&amp;""</f>
        <v/>
      </c>
      <c r="C51" t="str">
        <f>名簿!D31&amp;""</f>
        <v/>
      </c>
      <c r="D51" s="118"/>
      <c r="E51" s="119"/>
      <c r="F51" s="119"/>
      <c r="G51" s="120"/>
      <c r="H51" s="120"/>
    </row>
    <row r="52" spans="2:8" x14ac:dyDescent="0.4">
      <c r="B52" t="str">
        <f>名簿!C32&amp;""</f>
        <v/>
      </c>
      <c r="C52" t="str">
        <f>名簿!D32&amp;""</f>
        <v/>
      </c>
      <c r="D52" s="118"/>
      <c r="E52" s="119"/>
      <c r="F52" s="119"/>
      <c r="G52" s="120"/>
      <c r="H52" s="120"/>
    </row>
    <row r="53" spans="2:8" x14ac:dyDescent="0.4">
      <c r="B53" t="str">
        <f>名簿!C33&amp;""</f>
        <v/>
      </c>
      <c r="C53" t="str">
        <f>名簿!D33&amp;""</f>
        <v/>
      </c>
      <c r="D53" s="118"/>
      <c r="E53" s="119"/>
      <c r="F53" s="119"/>
      <c r="G53" s="120"/>
      <c r="H53" s="120"/>
    </row>
    <row r="54" spans="2:8" x14ac:dyDescent="0.4">
      <c r="B54" t="str">
        <f>名簿!C34&amp;""</f>
        <v/>
      </c>
      <c r="C54" t="str">
        <f>名簿!D34&amp;""</f>
        <v/>
      </c>
      <c r="D54" s="118"/>
      <c r="E54" s="119"/>
      <c r="F54" s="119"/>
      <c r="G54" s="120"/>
      <c r="H54" s="120"/>
    </row>
    <row r="55" spans="2:8" x14ac:dyDescent="0.4">
      <c r="B55" t="str">
        <f>名簿!C35&amp;""</f>
        <v/>
      </c>
      <c r="C55" t="str">
        <f>名簿!D35&amp;""</f>
        <v/>
      </c>
      <c r="D55" s="118"/>
      <c r="E55" s="119"/>
      <c r="F55" s="119"/>
      <c r="G55" s="120"/>
      <c r="H55" s="120"/>
    </row>
    <row r="56" spans="2:8" x14ac:dyDescent="0.4">
      <c r="B56" t="str">
        <f>名簿!C36&amp;""</f>
        <v/>
      </c>
      <c r="C56" t="str">
        <f>名簿!D36&amp;""</f>
        <v/>
      </c>
      <c r="D56" s="118"/>
      <c r="E56" s="119"/>
      <c r="F56" s="119"/>
      <c r="G56" s="120"/>
      <c r="H56" s="120"/>
    </row>
    <row r="57" spans="2:8" x14ac:dyDescent="0.4">
      <c r="B57" t="str">
        <f>名簿!C37&amp;""</f>
        <v/>
      </c>
      <c r="C57" t="str">
        <f>名簿!D37&amp;""</f>
        <v/>
      </c>
      <c r="D57" s="118"/>
      <c r="E57" s="119"/>
      <c r="F57" s="119"/>
      <c r="G57" s="120"/>
      <c r="H57" s="120"/>
    </row>
    <row r="58" spans="2:8" x14ac:dyDescent="0.4">
      <c r="B58" t="str">
        <f>名簿!C38&amp;""</f>
        <v/>
      </c>
      <c r="C58" t="str">
        <f>名簿!D38&amp;""</f>
        <v/>
      </c>
      <c r="D58" s="118"/>
      <c r="E58" s="119"/>
      <c r="F58" s="119"/>
      <c r="G58" s="120"/>
      <c r="H58" s="120"/>
    </row>
    <row r="59" spans="2:8" x14ac:dyDescent="0.4">
      <c r="B59" t="str">
        <f>名簿!C39&amp;""</f>
        <v/>
      </c>
      <c r="C59" t="str">
        <f>名簿!D39&amp;""</f>
        <v/>
      </c>
      <c r="D59" s="118"/>
      <c r="E59" s="119"/>
      <c r="F59" s="119"/>
      <c r="G59" s="120"/>
      <c r="H59" s="120"/>
    </row>
    <row r="60" spans="2:8" x14ac:dyDescent="0.4">
      <c r="B60" t="str">
        <f>名簿!C40&amp;""</f>
        <v/>
      </c>
      <c r="C60" t="str">
        <f>名簿!D40&amp;""</f>
        <v/>
      </c>
      <c r="D60" s="118"/>
      <c r="E60" s="119"/>
      <c r="F60" s="119"/>
      <c r="G60" s="120"/>
      <c r="H60" s="120"/>
    </row>
    <row r="61" spans="2:8" x14ac:dyDescent="0.4">
      <c r="B61" t="str">
        <f>名簿!C41&amp;""</f>
        <v/>
      </c>
      <c r="C61" t="str">
        <f>名簿!D41&amp;""</f>
        <v/>
      </c>
      <c r="D61" s="119"/>
      <c r="E61" s="119"/>
      <c r="F61" s="119"/>
      <c r="G61" s="120"/>
      <c r="H61" s="120"/>
    </row>
    <row r="62" spans="2:8" x14ac:dyDescent="0.4">
      <c r="B62" t="str">
        <f>名簿!C42&amp;""</f>
        <v/>
      </c>
      <c r="C62" t="str">
        <f>名簿!D42&amp;""</f>
        <v/>
      </c>
      <c r="D62" s="119"/>
      <c r="E62" s="119"/>
      <c r="F62" s="119"/>
      <c r="G62" s="120"/>
      <c r="H62" s="120"/>
    </row>
    <row r="63" spans="2:8" x14ac:dyDescent="0.4">
      <c r="B63" t="str">
        <f>名簿!C43&amp;""</f>
        <v/>
      </c>
      <c r="C63" t="str">
        <f>名簿!D43&amp;""</f>
        <v/>
      </c>
      <c r="D63" s="119"/>
      <c r="E63" s="119"/>
      <c r="F63" s="119"/>
      <c r="G63" s="120"/>
      <c r="H63" s="120"/>
    </row>
    <row r="64" spans="2:8" x14ac:dyDescent="0.4">
      <c r="B64" t="str">
        <f>名簿!C44&amp;""</f>
        <v/>
      </c>
      <c r="C64" t="str">
        <f>名簿!D44&amp;""</f>
        <v/>
      </c>
      <c r="D64" s="119"/>
      <c r="E64" s="119"/>
      <c r="F64" s="119"/>
      <c r="G64" s="120"/>
      <c r="H64" s="120"/>
    </row>
    <row r="65" spans="2:8" x14ac:dyDescent="0.4">
      <c r="B65" t="str">
        <f>名簿!C45&amp;""</f>
        <v/>
      </c>
      <c r="C65" t="str">
        <f>名簿!D45&amp;""</f>
        <v/>
      </c>
      <c r="D65" s="119"/>
      <c r="E65" s="119"/>
      <c r="F65" s="119"/>
      <c r="G65" s="120"/>
      <c r="H65" s="120"/>
    </row>
    <row r="66" spans="2:8" x14ac:dyDescent="0.4">
      <c r="B66" t="str">
        <f>名簿!C46&amp;""</f>
        <v/>
      </c>
      <c r="C66" t="str">
        <f>名簿!D46&amp;""</f>
        <v/>
      </c>
      <c r="D66" s="119"/>
      <c r="E66" s="119"/>
      <c r="F66" s="119"/>
      <c r="G66" s="120"/>
      <c r="H66" s="120"/>
    </row>
    <row r="67" spans="2:8" x14ac:dyDescent="0.4">
      <c r="B67" t="str">
        <f>名簿!C47&amp;""</f>
        <v/>
      </c>
      <c r="C67" t="str">
        <f>名簿!D47&amp;""</f>
        <v/>
      </c>
      <c r="D67" s="119"/>
      <c r="E67" s="119"/>
      <c r="F67" s="119"/>
      <c r="G67" s="120"/>
      <c r="H67" s="120"/>
    </row>
    <row r="68" spans="2:8" x14ac:dyDescent="0.4">
      <c r="B68" t="str">
        <f>名簿!C48&amp;""</f>
        <v/>
      </c>
      <c r="C68" t="str">
        <f>名簿!D48&amp;""</f>
        <v/>
      </c>
      <c r="D68" s="119"/>
      <c r="E68" s="119"/>
      <c r="F68" s="119"/>
      <c r="G68" s="120"/>
      <c r="H68" s="120"/>
    </row>
    <row r="69" spans="2:8" x14ac:dyDescent="0.4">
      <c r="B69" t="str">
        <f>名簿!C49&amp;""</f>
        <v/>
      </c>
      <c r="C69" t="str">
        <f>名簿!D49&amp;""</f>
        <v/>
      </c>
      <c r="D69" s="119"/>
      <c r="E69" s="119"/>
      <c r="F69" s="119"/>
      <c r="G69" s="120"/>
      <c r="H69" s="120"/>
    </row>
    <row r="70" spans="2:8" x14ac:dyDescent="0.4">
      <c r="B70" t="str">
        <f>名簿!C50&amp;""</f>
        <v/>
      </c>
      <c r="C70" t="str">
        <f>名簿!D50&amp;""</f>
        <v/>
      </c>
      <c r="D70" s="119"/>
      <c r="E70" s="119"/>
      <c r="F70" s="119"/>
      <c r="G70" s="120"/>
      <c r="H70" s="120"/>
    </row>
  </sheetData>
  <sheetProtection algorithmName="SHA-512" hashValue="FLgdsrwoIXzSLlSYEpq2ZBaDR84UthtpYiR22CdnJbUb3sPXPXy4z6QeQFgjqMMh0bDSyJ+edcMHCYP9P257uQ==" saltValue="vRhsWLJGFPcS06poyAFLLg==" spinCount="100000" sheet="1" objects="1" selectLockedCells="1"/>
  <dataConsolidate link="1"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161925</xdr:colOff>
                    <xdr:row>7</xdr:row>
                    <xdr:rowOff>28575</xdr:rowOff>
                  </from>
                  <to>
                    <xdr:col>9</xdr:col>
                    <xdr:colOff>409575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161925</xdr:colOff>
                    <xdr:row>8</xdr:row>
                    <xdr:rowOff>38100</xdr:rowOff>
                  </from>
                  <to>
                    <xdr:col>9</xdr:col>
                    <xdr:colOff>409575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457200</xdr:colOff>
                    <xdr:row>7</xdr:row>
                    <xdr:rowOff>19050</xdr:rowOff>
                  </from>
                  <to>
                    <xdr:col>10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b_Retest">
              <controlPr defaultSize="0" autoFill="0" autoLine="0" autoPict="0" macro="[0]!sh_input.Cb_Retest">
                <anchor>
                  <from>
                    <xdr:col>8</xdr:col>
                    <xdr:colOff>161925</xdr:colOff>
                    <xdr:row>10</xdr:row>
                    <xdr:rowOff>28575</xdr:rowOff>
                  </from>
                  <to>
                    <xdr:col>9</xdr:col>
                    <xdr:colOff>409575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tn_enrollment">
              <controlPr defaultSize="0" print="0" autoFill="0" autoPict="0" macro="[0]!sh_input.ToggleEnrollmentFilter">
                <anchor moveWithCells="1" sizeWithCells="1">
                  <from>
                    <xdr:col>2</xdr:col>
                    <xdr:colOff>381000</xdr:colOff>
                    <xdr:row>29</xdr:row>
                    <xdr:rowOff>9525</xdr:rowOff>
                  </from>
                  <to>
                    <xdr:col>3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CV62"/>
  <sheetViews>
    <sheetView workbookViewId="0">
      <selection activeCell="F6" sqref="F6"/>
    </sheetView>
  </sheetViews>
  <sheetFormatPr defaultRowHeight="16.5" x14ac:dyDescent="0.4"/>
  <cols>
    <col min="1" max="1" width="9.125" style="88" customWidth="1"/>
    <col min="2" max="2" width="8.625" style="88" customWidth="1"/>
    <col min="3" max="3" width="9.5" style="88" customWidth="1"/>
    <col min="4" max="10" width="6.625" style="88" customWidth="1"/>
    <col min="11" max="961" width="4.875" style="88" customWidth="1"/>
    <col min="962" max="16384" width="9" style="88"/>
  </cols>
  <sheetData>
    <row r="1" spans="1:776" s="155" customFormat="1" ht="24" x14ac:dyDescent="0.4">
      <c r="A1" s="143" t="s">
        <v>99</v>
      </c>
      <c r="B1" s="144"/>
      <c r="C1" s="144"/>
    </row>
    <row r="2" spans="1:776" s="155" customFormat="1" x14ac:dyDescent="0.4"/>
    <row r="3" spans="1:776" s="157" customFormat="1" x14ac:dyDescent="0.4">
      <c r="A3" s="156" t="s">
        <v>128</v>
      </c>
      <c r="B3" s="155"/>
    </row>
    <row r="4" spans="1:776" s="145" customFormat="1" x14ac:dyDescent="0.4">
      <c r="A4" s="146"/>
      <c r="B4" s="146"/>
      <c r="C4" s="147" t="s">
        <v>10</v>
      </c>
    </row>
    <row r="5" spans="1:776" s="148" customFormat="1" x14ac:dyDescent="0.4">
      <c r="A5" s="146"/>
      <c r="B5" s="146" t="s">
        <v>145</v>
      </c>
      <c r="C5" s="147" t="s">
        <v>4</v>
      </c>
    </row>
    <row r="6" spans="1:776" x14ac:dyDescent="0.4">
      <c r="A6" s="146"/>
      <c r="B6" s="146" t="s">
        <v>145</v>
      </c>
      <c r="C6" s="147" t="s">
        <v>0</v>
      </c>
    </row>
    <row r="7" spans="1:776" x14ac:dyDescent="0.4">
      <c r="A7" s="146"/>
      <c r="B7" s="146"/>
      <c r="C7" s="147" t="s">
        <v>78</v>
      </c>
    </row>
    <row r="8" spans="1:776" ht="75.75" customHeight="1" x14ac:dyDescent="0.4">
      <c r="A8" s="146"/>
      <c r="B8" s="146"/>
      <c r="C8" s="147" t="s">
        <v>1</v>
      </c>
      <c r="D8" s="149"/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  <c r="BE8" s="149"/>
      <c r="BF8" s="149"/>
      <c r="BG8" s="149"/>
      <c r="BH8" s="149"/>
      <c r="BI8" s="149"/>
      <c r="BJ8" s="149"/>
      <c r="BK8" s="149"/>
      <c r="BL8" s="149"/>
      <c r="BM8" s="149"/>
      <c r="BN8" s="149"/>
      <c r="BO8" s="149"/>
      <c r="BP8" s="149"/>
      <c r="BQ8" s="149"/>
      <c r="BR8" s="149"/>
      <c r="BS8" s="149"/>
      <c r="BT8" s="149"/>
      <c r="BU8" s="149"/>
      <c r="BV8" s="149"/>
      <c r="BW8" s="149"/>
      <c r="BX8" s="149"/>
      <c r="BY8" s="149"/>
      <c r="BZ8" s="149"/>
      <c r="CA8" s="149"/>
      <c r="CB8" s="149"/>
      <c r="CC8" s="149"/>
      <c r="CD8" s="149"/>
      <c r="CE8" s="149"/>
      <c r="CF8" s="149"/>
      <c r="CG8" s="149"/>
      <c r="CH8" s="149"/>
      <c r="CI8" s="149"/>
      <c r="CJ8" s="149"/>
      <c r="CK8" s="149"/>
      <c r="CL8" s="149"/>
      <c r="CM8" s="149"/>
      <c r="CN8" s="149"/>
      <c r="CO8" s="149"/>
      <c r="CP8" s="149"/>
      <c r="CQ8" s="149"/>
      <c r="CR8" s="149"/>
      <c r="CS8" s="149"/>
      <c r="CT8" s="149"/>
      <c r="CU8" s="149"/>
      <c r="CV8" s="149"/>
      <c r="CW8" s="149"/>
      <c r="CX8" s="149"/>
      <c r="CY8" s="149"/>
      <c r="CZ8" s="149"/>
      <c r="DA8" s="149"/>
      <c r="DB8" s="149"/>
      <c r="DC8" s="149"/>
      <c r="DD8" s="149"/>
      <c r="DE8" s="149"/>
      <c r="DF8" s="149"/>
      <c r="DG8" s="149"/>
      <c r="DH8" s="149"/>
      <c r="DI8" s="149"/>
      <c r="DJ8" s="149"/>
      <c r="DK8" s="149"/>
      <c r="DL8" s="149"/>
      <c r="DM8" s="149"/>
      <c r="DN8" s="149"/>
      <c r="DO8" s="149"/>
      <c r="DP8" s="149"/>
      <c r="DQ8" s="149"/>
      <c r="DR8" s="149"/>
      <c r="DS8" s="149"/>
      <c r="DT8" s="149"/>
      <c r="DU8" s="149"/>
      <c r="DV8" s="149"/>
      <c r="DW8" s="149"/>
      <c r="DX8" s="149"/>
      <c r="DY8" s="149"/>
      <c r="DZ8" s="149"/>
      <c r="EA8" s="149"/>
      <c r="EB8" s="149"/>
      <c r="EC8" s="149"/>
      <c r="ED8" s="149"/>
      <c r="EE8" s="149"/>
      <c r="EF8" s="149"/>
      <c r="EG8" s="149"/>
      <c r="EH8" s="149"/>
      <c r="EI8" s="149"/>
      <c r="EJ8" s="149"/>
      <c r="EK8" s="149"/>
      <c r="EL8" s="149"/>
      <c r="EM8" s="149"/>
      <c r="EN8" s="149"/>
      <c r="EO8" s="149"/>
      <c r="EP8" s="149"/>
      <c r="EQ8" s="149"/>
      <c r="ER8" s="149"/>
      <c r="ES8" s="149"/>
      <c r="ET8" s="149"/>
      <c r="EU8" s="149"/>
      <c r="EV8" s="149"/>
      <c r="EW8" s="149"/>
      <c r="EX8" s="149"/>
      <c r="EY8" s="149"/>
      <c r="EZ8" s="149"/>
      <c r="FA8" s="149"/>
      <c r="FB8" s="149"/>
      <c r="FC8" s="149"/>
      <c r="FD8" s="149"/>
      <c r="FE8" s="149"/>
      <c r="FF8" s="149"/>
      <c r="FG8" s="149"/>
      <c r="FH8" s="149"/>
      <c r="FI8" s="149"/>
      <c r="FJ8" s="149"/>
      <c r="FK8" s="149"/>
      <c r="FL8" s="149"/>
      <c r="FM8" s="149"/>
      <c r="FN8" s="149"/>
      <c r="FO8" s="149"/>
      <c r="FP8" s="149"/>
      <c r="FQ8" s="149"/>
      <c r="FR8" s="149"/>
      <c r="FS8" s="149"/>
      <c r="FT8" s="149"/>
      <c r="FU8" s="149"/>
      <c r="FV8" s="149"/>
      <c r="FW8" s="149"/>
      <c r="FX8" s="149"/>
      <c r="FY8" s="149"/>
      <c r="FZ8" s="149"/>
      <c r="GA8" s="149"/>
      <c r="GB8" s="149"/>
      <c r="GC8" s="149"/>
      <c r="GD8" s="149"/>
      <c r="GE8" s="149"/>
      <c r="GF8" s="149"/>
      <c r="GG8" s="149"/>
      <c r="GH8" s="149"/>
      <c r="GI8" s="149"/>
      <c r="GJ8" s="149"/>
      <c r="GK8" s="149"/>
      <c r="GL8" s="149"/>
      <c r="GM8" s="149"/>
      <c r="GN8" s="149"/>
      <c r="GO8" s="149"/>
      <c r="GP8" s="149"/>
      <c r="GQ8" s="149"/>
      <c r="GR8" s="149"/>
      <c r="GS8" s="149"/>
      <c r="GT8" s="149"/>
      <c r="GU8" s="149"/>
      <c r="GV8" s="149"/>
      <c r="GW8" s="149"/>
      <c r="GX8" s="149"/>
      <c r="GY8" s="149"/>
      <c r="GZ8" s="149"/>
      <c r="HA8" s="149"/>
      <c r="HB8" s="149"/>
      <c r="HC8" s="149"/>
      <c r="HD8" s="149"/>
      <c r="HE8" s="149"/>
      <c r="HF8" s="149"/>
      <c r="HG8" s="149"/>
      <c r="HH8" s="149"/>
      <c r="HI8" s="149"/>
      <c r="HJ8" s="149"/>
      <c r="HK8" s="149"/>
      <c r="HL8" s="149"/>
      <c r="HM8" s="149"/>
      <c r="HN8" s="149"/>
      <c r="HO8" s="149"/>
      <c r="HP8" s="149"/>
      <c r="HQ8" s="149"/>
      <c r="HR8" s="149"/>
      <c r="HS8" s="149"/>
      <c r="HT8" s="149"/>
      <c r="HU8" s="149"/>
      <c r="HV8" s="149"/>
      <c r="HW8" s="149"/>
      <c r="HX8" s="149"/>
      <c r="HY8" s="149"/>
      <c r="HZ8" s="149"/>
      <c r="IA8" s="149"/>
      <c r="IB8" s="149"/>
      <c r="IC8" s="149"/>
      <c r="ID8" s="149"/>
      <c r="IE8" s="149"/>
      <c r="IF8" s="149"/>
      <c r="IG8" s="149"/>
      <c r="IH8" s="149"/>
      <c r="II8" s="149"/>
      <c r="IJ8" s="149"/>
      <c r="IK8" s="149"/>
      <c r="IL8" s="149"/>
      <c r="IM8" s="149"/>
      <c r="IN8" s="149"/>
      <c r="IO8" s="149"/>
      <c r="IP8" s="149"/>
      <c r="IQ8" s="149"/>
      <c r="IR8" s="149"/>
      <c r="IS8" s="149"/>
      <c r="IT8" s="149"/>
      <c r="IU8" s="149"/>
      <c r="IV8" s="149"/>
      <c r="IW8" s="149"/>
      <c r="IX8" s="149"/>
      <c r="IY8" s="149"/>
      <c r="IZ8" s="149"/>
      <c r="JA8" s="149"/>
      <c r="JB8" s="149"/>
      <c r="JC8" s="149"/>
      <c r="JD8" s="149"/>
      <c r="JE8" s="149"/>
      <c r="JF8" s="149"/>
      <c r="JG8" s="149"/>
      <c r="JH8" s="149"/>
      <c r="JI8" s="149"/>
      <c r="JJ8" s="149"/>
      <c r="JK8" s="149"/>
      <c r="JL8" s="149"/>
      <c r="JM8" s="149"/>
      <c r="JN8" s="149"/>
      <c r="JO8" s="149"/>
      <c r="JP8" s="149"/>
      <c r="JQ8" s="149"/>
      <c r="JR8" s="149"/>
      <c r="JS8" s="149"/>
      <c r="JT8" s="149"/>
      <c r="JU8" s="149"/>
      <c r="JV8" s="149"/>
      <c r="JW8" s="149"/>
      <c r="JX8" s="149"/>
      <c r="JY8" s="149"/>
      <c r="JZ8" s="149"/>
      <c r="KA8" s="149"/>
      <c r="KB8" s="149"/>
      <c r="KC8" s="149"/>
      <c r="KD8" s="149"/>
      <c r="KE8" s="149"/>
      <c r="KF8" s="149"/>
      <c r="KG8" s="149"/>
      <c r="KH8" s="149"/>
      <c r="KI8" s="149"/>
      <c r="KJ8" s="149"/>
      <c r="KK8" s="149"/>
      <c r="KL8" s="149"/>
      <c r="KM8" s="149"/>
      <c r="KN8" s="149"/>
      <c r="KO8" s="149"/>
      <c r="KP8" s="149"/>
      <c r="KQ8" s="149"/>
      <c r="KR8" s="149"/>
      <c r="KS8" s="149"/>
      <c r="KT8" s="149"/>
      <c r="KU8" s="149"/>
      <c r="KV8" s="149"/>
      <c r="KW8" s="149"/>
      <c r="KX8" s="149"/>
      <c r="KY8" s="149"/>
      <c r="KZ8" s="149"/>
      <c r="LA8" s="149"/>
      <c r="LB8" s="149"/>
      <c r="LC8" s="149"/>
      <c r="LD8" s="149"/>
      <c r="LE8" s="149"/>
      <c r="LF8" s="149"/>
      <c r="LG8" s="149"/>
      <c r="LH8" s="149"/>
      <c r="LI8" s="149"/>
      <c r="LJ8" s="149"/>
      <c r="LK8" s="149"/>
      <c r="LL8" s="149"/>
      <c r="LM8" s="149"/>
      <c r="LN8" s="149"/>
      <c r="LO8" s="149"/>
      <c r="LP8" s="149"/>
      <c r="LQ8" s="149"/>
      <c r="LR8" s="149"/>
      <c r="LS8" s="149"/>
      <c r="LT8" s="149"/>
      <c r="LU8" s="149"/>
      <c r="LV8" s="149"/>
      <c r="LW8" s="149"/>
      <c r="LX8" s="149"/>
      <c r="LY8" s="149"/>
      <c r="LZ8" s="149"/>
      <c r="MA8" s="149"/>
      <c r="MB8" s="149"/>
      <c r="MC8" s="149"/>
      <c r="MD8" s="149"/>
      <c r="ME8" s="149"/>
      <c r="MF8" s="149"/>
      <c r="MG8" s="149"/>
      <c r="MH8" s="149"/>
      <c r="MI8" s="149"/>
      <c r="MJ8" s="149"/>
      <c r="MK8" s="149"/>
      <c r="ML8" s="149"/>
      <c r="MM8" s="149"/>
      <c r="MN8" s="149"/>
      <c r="MO8" s="149"/>
      <c r="MP8" s="149"/>
      <c r="MQ8" s="149"/>
      <c r="MR8" s="149"/>
      <c r="MS8" s="149"/>
      <c r="MT8" s="149"/>
      <c r="MU8" s="149"/>
      <c r="MV8" s="149"/>
      <c r="MW8" s="149"/>
      <c r="MX8" s="149"/>
      <c r="MY8" s="149"/>
      <c r="MZ8" s="149"/>
      <c r="NA8" s="149"/>
      <c r="NB8" s="149"/>
      <c r="NC8" s="149"/>
      <c r="ND8" s="149"/>
      <c r="NE8" s="149"/>
      <c r="NF8" s="149"/>
      <c r="NG8" s="149"/>
      <c r="NH8" s="149"/>
      <c r="NI8" s="149"/>
      <c r="NJ8" s="149"/>
      <c r="NK8" s="149"/>
      <c r="NL8" s="149"/>
      <c r="NM8" s="149"/>
      <c r="NN8" s="149"/>
      <c r="NO8" s="149"/>
      <c r="NP8" s="149"/>
      <c r="NQ8" s="149"/>
      <c r="NR8" s="149"/>
      <c r="NS8" s="149"/>
      <c r="NT8" s="149"/>
      <c r="NU8" s="149"/>
      <c r="NV8" s="149"/>
      <c r="NW8" s="149"/>
      <c r="NX8" s="149"/>
      <c r="NY8" s="149"/>
      <c r="NZ8" s="149"/>
      <c r="OA8" s="149"/>
      <c r="OB8" s="149"/>
      <c r="OC8" s="149"/>
      <c r="OD8" s="149"/>
      <c r="OE8" s="149"/>
      <c r="OF8" s="149"/>
      <c r="OG8" s="149"/>
      <c r="OH8" s="149"/>
      <c r="OI8" s="149"/>
      <c r="OJ8" s="149"/>
      <c r="OK8" s="149"/>
      <c r="OL8" s="149"/>
      <c r="OM8" s="149"/>
      <c r="ON8" s="149"/>
      <c r="OO8" s="149"/>
      <c r="OP8" s="149"/>
      <c r="OQ8" s="149"/>
      <c r="OR8" s="149"/>
      <c r="OS8" s="149"/>
      <c r="OT8" s="149"/>
      <c r="OU8" s="149"/>
      <c r="OV8" s="149"/>
      <c r="OW8" s="149"/>
      <c r="OX8" s="149"/>
      <c r="OY8" s="149"/>
      <c r="OZ8" s="149"/>
      <c r="PA8" s="149"/>
      <c r="PB8" s="149"/>
      <c r="PC8" s="149"/>
      <c r="PD8" s="149"/>
      <c r="PE8" s="149"/>
      <c r="PF8" s="149"/>
      <c r="PG8" s="149"/>
      <c r="PH8" s="149"/>
      <c r="PI8" s="149"/>
      <c r="PJ8" s="149"/>
      <c r="PK8" s="149"/>
      <c r="PL8" s="149"/>
      <c r="PM8" s="149"/>
      <c r="PN8" s="149"/>
      <c r="PO8" s="149"/>
      <c r="PP8" s="149"/>
      <c r="PQ8" s="149"/>
      <c r="PR8" s="149"/>
      <c r="PS8" s="149"/>
      <c r="PT8" s="149"/>
      <c r="PU8" s="149"/>
      <c r="PV8" s="149"/>
      <c r="PW8" s="149"/>
      <c r="PX8" s="149"/>
      <c r="PY8" s="149"/>
      <c r="PZ8" s="149"/>
      <c r="QA8" s="149"/>
      <c r="QB8" s="149"/>
      <c r="QC8" s="149"/>
      <c r="QD8" s="149"/>
      <c r="QE8" s="149"/>
      <c r="QF8" s="149"/>
      <c r="QG8" s="149"/>
      <c r="QH8" s="149"/>
      <c r="QI8" s="149"/>
      <c r="QJ8" s="149"/>
      <c r="QK8" s="149"/>
      <c r="QL8" s="149"/>
      <c r="QM8" s="149"/>
      <c r="QN8" s="149"/>
      <c r="QO8" s="149"/>
      <c r="QP8" s="149"/>
      <c r="QQ8" s="149"/>
      <c r="QR8" s="149"/>
      <c r="QS8" s="149"/>
      <c r="QT8" s="149"/>
      <c r="QU8" s="149"/>
      <c r="QV8" s="149"/>
      <c r="QW8" s="149"/>
      <c r="QX8" s="149"/>
      <c r="QY8" s="149"/>
      <c r="QZ8" s="149"/>
      <c r="RA8" s="149"/>
      <c r="RB8" s="149"/>
      <c r="RC8" s="149"/>
      <c r="RD8" s="149"/>
      <c r="RE8" s="149"/>
      <c r="RF8" s="149"/>
      <c r="RG8" s="149"/>
      <c r="RH8" s="149"/>
      <c r="RI8" s="149"/>
      <c r="RJ8" s="149"/>
      <c r="RK8" s="149"/>
      <c r="RL8" s="149"/>
      <c r="RM8" s="149"/>
      <c r="RN8" s="149"/>
      <c r="RO8" s="149"/>
      <c r="RP8" s="149"/>
      <c r="RQ8" s="149"/>
      <c r="RR8" s="149"/>
      <c r="RS8" s="149"/>
      <c r="RT8" s="149"/>
      <c r="RU8" s="149"/>
      <c r="RV8" s="149"/>
      <c r="RW8" s="149"/>
      <c r="RX8" s="149"/>
      <c r="RY8" s="149"/>
      <c r="RZ8" s="149"/>
      <c r="SA8" s="149"/>
      <c r="SB8" s="149"/>
      <c r="SC8" s="149"/>
      <c r="SD8" s="149"/>
      <c r="SE8" s="149"/>
      <c r="SF8" s="149"/>
      <c r="SG8" s="149"/>
      <c r="SH8" s="149"/>
      <c r="SI8" s="149"/>
      <c r="SJ8" s="149"/>
      <c r="SK8" s="149"/>
      <c r="SL8" s="149"/>
      <c r="SM8" s="149"/>
      <c r="SN8" s="149"/>
      <c r="SO8" s="149"/>
      <c r="SP8" s="149"/>
      <c r="SQ8" s="149"/>
      <c r="SR8" s="149"/>
      <c r="SS8" s="149"/>
      <c r="ST8" s="149"/>
      <c r="SU8" s="149"/>
      <c r="SV8" s="149"/>
      <c r="SW8" s="149"/>
      <c r="SX8" s="149"/>
      <c r="SY8" s="149"/>
      <c r="SZ8" s="149"/>
      <c r="TA8" s="149"/>
      <c r="TB8" s="149"/>
      <c r="TC8" s="149"/>
      <c r="TD8" s="149"/>
      <c r="TE8" s="149"/>
      <c r="TF8" s="149"/>
      <c r="TG8" s="149"/>
      <c r="TH8" s="149"/>
      <c r="TI8" s="149"/>
      <c r="TJ8" s="149"/>
      <c r="TK8" s="149"/>
      <c r="TL8" s="149"/>
      <c r="TM8" s="149"/>
      <c r="TN8" s="149"/>
      <c r="TO8" s="149"/>
      <c r="TP8" s="149"/>
      <c r="TQ8" s="149"/>
      <c r="TR8" s="149"/>
      <c r="TS8" s="149"/>
      <c r="TT8" s="149"/>
      <c r="TU8" s="149"/>
      <c r="TV8" s="149"/>
      <c r="TW8" s="149"/>
      <c r="TX8" s="149"/>
      <c r="TY8" s="149"/>
      <c r="TZ8" s="149"/>
      <c r="UA8" s="149"/>
      <c r="UB8" s="149"/>
      <c r="UC8" s="149"/>
      <c r="UD8" s="149"/>
      <c r="UE8" s="149"/>
      <c r="UF8" s="149"/>
      <c r="UG8" s="149"/>
      <c r="UH8" s="149"/>
      <c r="UI8" s="149"/>
      <c r="UJ8" s="149"/>
      <c r="UK8" s="149"/>
      <c r="UL8" s="149"/>
      <c r="UM8" s="149"/>
      <c r="UN8" s="149"/>
      <c r="UO8" s="149"/>
      <c r="UP8" s="149"/>
      <c r="UQ8" s="149"/>
      <c r="UR8" s="149"/>
      <c r="US8" s="149"/>
      <c r="UT8" s="149"/>
      <c r="UU8" s="149"/>
      <c r="UV8" s="149"/>
      <c r="UW8" s="149"/>
      <c r="UX8" s="149"/>
      <c r="UY8" s="149"/>
      <c r="UZ8" s="149"/>
      <c r="VA8" s="149"/>
      <c r="VB8" s="149"/>
      <c r="VC8" s="149"/>
      <c r="VD8" s="149"/>
      <c r="VE8" s="149"/>
      <c r="VF8" s="149"/>
      <c r="VG8" s="149"/>
      <c r="VH8" s="149"/>
      <c r="VI8" s="149"/>
      <c r="VJ8" s="149"/>
      <c r="VK8" s="149"/>
      <c r="VL8" s="149"/>
      <c r="VM8" s="149"/>
      <c r="VN8" s="149"/>
      <c r="VO8" s="149"/>
      <c r="VP8" s="149"/>
      <c r="VQ8" s="149"/>
      <c r="VR8" s="149"/>
      <c r="VS8" s="149"/>
      <c r="VT8" s="149"/>
      <c r="VU8" s="149"/>
      <c r="VV8" s="149"/>
      <c r="VW8" s="149"/>
      <c r="VX8" s="149"/>
      <c r="VY8" s="149"/>
      <c r="VZ8" s="149"/>
      <c r="WA8" s="149"/>
      <c r="WB8" s="149"/>
      <c r="WC8" s="149"/>
      <c r="WD8" s="149"/>
      <c r="WE8" s="149"/>
      <c r="WF8" s="149"/>
      <c r="WG8" s="149"/>
      <c r="WH8" s="149"/>
      <c r="WI8" s="149"/>
      <c r="WJ8" s="149"/>
      <c r="WK8" s="149"/>
      <c r="WL8" s="149"/>
      <c r="WM8" s="149"/>
      <c r="WN8" s="149"/>
      <c r="WO8" s="149"/>
      <c r="WP8" s="149"/>
      <c r="WQ8" s="149"/>
      <c r="WR8" s="149"/>
      <c r="WS8" s="149"/>
      <c r="WT8" s="149"/>
      <c r="WU8" s="149"/>
      <c r="WV8" s="149"/>
      <c r="WW8" s="149"/>
      <c r="WX8" s="149"/>
      <c r="WY8" s="149"/>
      <c r="WZ8" s="149"/>
      <c r="XA8" s="149"/>
      <c r="XB8" s="149"/>
      <c r="XC8" s="149"/>
      <c r="XD8" s="149"/>
      <c r="XE8" s="149"/>
      <c r="XF8" s="149"/>
      <c r="XG8" s="149"/>
      <c r="XH8" s="149"/>
      <c r="XI8" s="149"/>
      <c r="XJ8" s="149"/>
      <c r="XK8" s="149"/>
      <c r="XL8" s="149"/>
      <c r="XM8" s="149"/>
      <c r="XN8" s="149"/>
      <c r="XO8" s="149"/>
      <c r="XP8" s="149"/>
      <c r="XQ8" s="149"/>
      <c r="XR8" s="149"/>
      <c r="XS8" s="149"/>
      <c r="XT8" s="149"/>
      <c r="XU8" s="149"/>
      <c r="XV8" s="149"/>
      <c r="XW8" s="149"/>
      <c r="XX8" s="149"/>
      <c r="XY8" s="149"/>
      <c r="XZ8" s="149"/>
      <c r="YA8" s="149"/>
      <c r="YB8" s="149"/>
      <c r="YC8" s="149"/>
      <c r="YD8" s="149"/>
      <c r="YE8" s="149"/>
      <c r="YF8" s="149"/>
      <c r="YG8" s="149"/>
      <c r="YH8" s="149"/>
      <c r="YI8" s="149"/>
      <c r="YJ8" s="149"/>
      <c r="YK8" s="149"/>
      <c r="YL8" s="149"/>
      <c r="YM8" s="149"/>
      <c r="YN8" s="149"/>
      <c r="YO8" s="149"/>
      <c r="YP8" s="149"/>
      <c r="YQ8" s="149"/>
      <c r="YR8" s="149"/>
      <c r="YS8" s="149"/>
      <c r="YT8" s="149"/>
      <c r="YU8" s="149"/>
      <c r="YV8" s="149"/>
      <c r="YW8" s="149"/>
      <c r="YX8" s="149"/>
      <c r="YY8" s="149"/>
      <c r="YZ8" s="149"/>
      <c r="ZA8" s="149"/>
      <c r="ZB8" s="149"/>
      <c r="ZC8" s="149"/>
      <c r="ZD8" s="149"/>
      <c r="ZE8" s="149"/>
      <c r="ZF8" s="149"/>
      <c r="ZG8" s="149"/>
      <c r="ZH8" s="149"/>
      <c r="ZI8" s="149"/>
      <c r="ZJ8" s="149"/>
      <c r="ZK8" s="149"/>
      <c r="ZL8" s="149"/>
      <c r="ZM8" s="149"/>
      <c r="ZN8" s="149"/>
      <c r="ZO8" s="149"/>
      <c r="ZP8" s="149"/>
      <c r="ZQ8" s="149"/>
      <c r="ZR8" s="149"/>
      <c r="ZS8" s="149"/>
      <c r="ZT8" s="149"/>
      <c r="ZU8" s="149"/>
      <c r="ZV8" s="149"/>
      <c r="ZW8" s="149"/>
      <c r="ZX8" s="149"/>
      <c r="ZY8" s="149"/>
      <c r="ZZ8" s="149"/>
      <c r="AAA8" s="149"/>
      <c r="AAB8" s="149"/>
      <c r="AAC8" s="149"/>
      <c r="AAD8" s="149"/>
      <c r="AAE8" s="149"/>
      <c r="AAF8" s="149"/>
      <c r="AAG8" s="149"/>
      <c r="AAH8" s="149"/>
      <c r="AAI8" s="149"/>
      <c r="AAJ8" s="149"/>
      <c r="AAK8" s="149"/>
      <c r="AAL8" s="149"/>
      <c r="AAM8" s="149"/>
      <c r="AAN8" s="149"/>
      <c r="AAO8" s="149"/>
      <c r="AAP8" s="149"/>
      <c r="AAQ8" s="149"/>
      <c r="AAR8" s="149"/>
      <c r="AAS8" s="149"/>
      <c r="AAT8" s="149"/>
      <c r="AAU8" s="149"/>
      <c r="AAV8" s="149"/>
      <c r="AAW8" s="149"/>
      <c r="AAX8" s="149"/>
      <c r="AAY8" s="149"/>
      <c r="AAZ8" s="149"/>
      <c r="ABA8" s="149"/>
      <c r="ABB8" s="149"/>
      <c r="ABC8" s="149"/>
      <c r="ABD8" s="149"/>
      <c r="ABE8" s="149"/>
      <c r="ABF8" s="149"/>
      <c r="ABG8" s="149"/>
      <c r="ABH8" s="149"/>
      <c r="ABI8" s="149"/>
      <c r="ABJ8" s="149"/>
      <c r="ABK8" s="149"/>
      <c r="ABL8" s="149"/>
      <c r="ABM8" s="149"/>
      <c r="ABN8" s="149"/>
      <c r="ABO8" s="149"/>
      <c r="ABP8" s="149"/>
      <c r="ABQ8" s="149"/>
      <c r="ABR8" s="149"/>
      <c r="ABS8" s="149"/>
      <c r="ABT8" s="149"/>
      <c r="ABU8" s="149"/>
      <c r="ABV8" s="149"/>
      <c r="ABW8" s="149"/>
      <c r="ABX8" s="149"/>
      <c r="ABY8" s="149"/>
      <c r="ABZ8" s="149"/>
      <c r="ACA8" s="149"/>
      <c r="ACB8" s="149"/>
      <c r="ACC8" s="149"/>
      <c r="ACD8" s="149"/>
      <c r="ACE8" s="149"/>
      <c r="ACF8" s="149"/>
      <c r="ACG8" s="149"/>
      <c r="ACH8" s="149"/>
      <c r="ACI8" s="149"/>
      <c r="ACJ8" s="149"/>
      <c r="ACK8" s="149"/>
      <c r="ACL8" s="149"/>
      <c r="ACM8" s="149"/>
      <c r="ACN8" s="149"/>
      <c r="ACO8" s="149"/>
      <c r="ACP8" s="149"/>
      <c r="ACQ8" s="149"/>
      <c r="ACR8" s="149"/>
      <c r="ACS8" s="149"/>
      <c r="ACT8" s="149"/>
      <c r="ACU8" s="149"/>
      <c r="ACV8" s="149"/>
    </row>
    <row r="9" spans="1:776" x14ac:dyDescent="0.4">
      <c r="A9" s="146"/>
      <c r="B9" s="146"/>
      <c r="C9" s="147" t="s">
        <v>2</v>
      </c>
    </row>
    <row r="10" spans="1:776" x14ac:dyDescent="0.4">
      <c r="A10" s="150"/>
      <c r="B10" s="150"/>
      <c r="C10" s="151" t="s">
        <v>79</v>
      </c>
    </row>
    <row r="11" spans="1:776" x14ac:dyDescent="0.4">
      <c r="A11" s="152"/>
      <c r="B11" s="152"/>
      <c r="C11" s="153" t="s">
        <v>3</v>
      </c>
    </row>
    <row r="12" spans="1:776" x14ac:dyDescent="0.4">
      <c r="A12" s="152"/>
      <c r="B12" s="152"/>
      <c r="C12" s="153" t="s">
        <v>68</v>
      </c>
    </row>
    <row r="13" spans="1:776" x14ac:dyDescent="0.4">
      <c r="A13" s="152"/>
      <c r="B13" s="152"/>
      <c r="C13" s="153" t="s">
        <v>69</v>
      </c>
    </row>
    <row r="14" spans="1:776" x14ac:dyDescent="0.4">
      <c r="A14" s="152"/>
      <c r="B14" s="152"/>
      <c r="C14" s="153" t="s">
        <v>67</v>
      </c>
    </row>
    <row r="15" spans="1:776" x14ac:dyDescent="0.4">
      <c r="A15" s="152"/>
      <c r="B15" s="152"/>
      <c r="C15" s="153" t="s">
        <v>70</v>
      </c>
    </row>
    <row r="16" spans="1:776" x14ac:dyDescent="0.4">
      <c r="A16" s="152"/>
      <c r="B16" s="152"/>
      <c r="C16" s="153" t="s">
        <v>72</v>
      </c>
    </row>
    <row r="17" spans="1:3" x14ac:dyDescent="0.4">
      <c r="A17" s="152"/>
      <c r="B17" s="152"/>
      <c r="C17" s="153" t="s">
        <v>73</v>
      </c>
    </row>
    <row r="18" spans="1:3" x14ac:dyDescent="0.4">
      <c r="A18" s="161"/>
      <c r="B18" s="161"/>
      <c r="C18" s="162" t="s">
        <v>58</v>
      </c>
    </row>
    <row r="19" spans="1:3" x14ac:dyDescent="0.4">
      <c r="A19" s="163"/>
      <c r="B19" s="163"/>
      <c r="C19" s="164" t="s">
        <v>11</v>
      </c>
    </row>
    <row r="20" spans="1:3" x14ac:dyDescent="0.4">
      <c r="A20" s="163"/>
      <c r="B20" s="163"/>
      <c r="C20" s="164" t="s">
        <v>12</v>
      </c>
    </row>
    <row r="21" spans="1:3" x14ac:dyDescent="0.4">
      <c r="A21" s="163"/>
      <c r="B21" s="163"/>
      <c r="C21" s="164" t="s">
        <v>13</v>
      </c>
    </row>
    <row r="22" spans="1:3" ht="17.25" thickBot="1" x14ac:dyDescent="0.45">
      <c r="A22" s="165"/>
      <c r="B22" s="166"/>
      <c r="C22" s="165" t="s">
        <v>23</v>
      </c>
    </row>
    <row r="23" spans="1:3" s="158" customFormat="1" x14ac:dyDescent="0.35">
      <c r="A23" s="154" t="str">
        <f>名簿!B11&amp;""</f>
        <v/>
      </c>
      <c r="B23" s="154" t="str">
        <f>名簿!C11&amp;""</f>
        <v/>
      </c>
      <c r="C23" s="154" t="str">
        <f>名簿!D11&amp;""</f>
        <v/>
      </c>
    </row>
    <row r="24" spans="1:3" x14ac:dyDescent="0.35">
      <c r="A24" s="154" t="str">
        <f>名簿!B12&amp;""</f>
        <v/>
      </c>
      <c r="B24" s="154" t="str">
        <f>名簿!C12&amp;""</f>
        <v/>
      </c>
      <c r="C24" s="154" t="str">
        <f>名簿!D12&amp;""</f>
        <v/>
      </c>
    </row>
    <row r="25" spans="1:3" x14ac:dyDescent="0.35">
      <c r="A25" s="154" t="str">
        <f>名簿!B13&amp;""</f>
        <v/>
      </c>
      <c r="B25" s="154" t="str">
        <f>名簿!C13&amp;""</f>
        <v/>
      </c>
      <c r="C25" s="154" t="str">
        <f>名簿!D13&amp;""</f>
        <v/>
      </c>
    </row>
    <row r="26" spans="1:3" x14ac:dyDescent="0.35">
      <c r="A26" s="154" t="str">
        <f>名簿!B14&amp;""</f>
        <v/>
      </c>
      <c r="B26" s="154" t="str">
        <f>名簿!C14&amp;""</f>
        <v/>
      </c>
      <c r="C26" s="154" t="str">
        <f>名簿!D14&amp;""</f>
        <v/>
      </c>
    </row>
    <row r="27" spans="1:3" x14ac:dyDescent="0.35">
      <c r="A27" s="154" t="str">
        <f>名簿!B15&amp;""</f>
        <v/>
      </c>
      <c r="B27" s="154" t="str">
        <f>名簿!C15&amp;""</f>
        <v/>
      </c>
      <c r="C27" s="154" t="str">
        <f>名簿!D15&amp;""</f>
        <v/>
      </c>
    </row>
    <row r="28" spans="1:3" x14ac:dyDescent="0.35">
      <c r="A28" s="154" t="str">
        <f>名簿!B16&amp;""</f>
        <v/>
      </c>
      <c r="B28" s="154" t="str">
        <f>名簿!C16&amp;""</f>
        <v/>
      </c>
      <c r="C28" s="154" t="str">
        <f>名簿!D16&amp;""</f>
        <v/>
      </c>
    </row>
    <row r="29" spans="1:3" x14ac:dyDescent="0.35">
      <c r="A29" s="154" t="str">
        <f>名簿!B17&amp;""</f>
        <v/>
      </c>
      <c r="B29" s="154" t="str">
        <f>名簿!C17&amp;""</f>
        <v/>
      </c>
      <c r="C29" s="154" t="str">
        <f>名簿!D17&amp;""</f>
        <v/>
      </c>
    </row>
    <row r="30" spans="1:3" x14ac:dyDescent="0.35">
      <c r="A30" s="154" t="str">
        <f>名簿!B18&amp;""</f>
        <v/>
      </c>
      <c r="B30" s="154" t="str">
        <f>名簿!C18&amp;""</f>
        <v/>
      </c>
      <c r="C30" s="154" t="str">
        <f>名簿!D18&amp;""</f>
        <v/>
      </c>
    </row>
    <row r="31" spans="1:3" x14ac:dyDescent="0.35">
      <c r="A31" s="154" t="str">
        <f>名簿!B19&amp;""</f>
        <v/>
      </c>
      <c r="B31" s="154" t="str">
        <f>名簿!C19&amp;""</f>
        <v/>
      </c>
      <c r="C31" s="154" t="str">
        <f>名簿!D19&amp;""</f>
        <v/>
      </c>
    </row>
    <row r="32" spans="1:3" x14ac:dyDescent="0.35">
      <c r="A32" s="154" t="str">
        <f>名簿!B20&amp;""</f>
        <v/>
      </c>
      <c r="B32" s="154" t="str">
        <f>名簿!C20&amp;""</f>
        <v/>
      </c>
      <c r="C32" s="154" t="str">
        <f>名簿!D20&amp;""</f>
        <v/>
      </c>
    </row>
    <row r="33" spans="1:3" x14ac:dyDescent="0.35">
      <c r="A33" s="154" t="str">
        <f>名簿!B21&amp;""</f>
        <v/>
      </c>
      <c r="B33" s="154" t="str">
        <f>名簿!C21&amp;""</f>
        <v/>
      </c>
      <c r="C33" s="154" t="str">
        <f>名簿!D21&amp;""</f>
        <v/>
      </c>
    </row>
    <row r="34" spans="1:3" x14ac:dyDescent="0.35">
      <c r="A34" s="154" t="str">
        <f>名簿!B22&amp;""</f>
        <v/>
      </c>
      <c r="B34" s="154" t="str">
        <f>名簿!C22&amp;""</f>
        <v/>
      </c>
      <c r="C34" s="154" t="str">
        <f>名簿!D22&amp;""</f>
        <v/>
      </c>
    </row>
    <row r="35" spans="1:3" x14ac:dyDescent="0.35">
      <c r="A35" s="154" t="str">
        <f>名簿!B23&amp;""</f>
        <v/>
      </c>
      <c r="B35" s="154" t="str">
        <f>名簿!C23&amp;""</f>
        <v/>
      </c>
      <c r="C35" s="154" t="str">
        <f>名簿!D23&amp;""</f>
        <v/>
      </c>
    </row>
    <row r="36" spans="1:3" x14ac:dyDescent="0.35">
      <c r="A36" s="154" t="str">
        <f>名簿!B24&amp;""</f>
        <v/>
      </c>
      <c r="B36" s="154" t="str">
        <f>名簿!C24&amp;""</f>
        <v/>
      </c>
      <c r="C36" s="154" t="str">
        <f>名簿!D24&amp;""</f>
        <v/>
      </c>
    </row>
    <row r="37" spans="1:3" x14ac:dyDescent="0.35">
      <c r="A37" s="154" t="str">
        <f>名簿!B25&amp;""</f>
        <v/>
      </c>
      <c r="B37" s="154" t="str">
        <f>名簿!C25&amp;""</f>
        <v/>
      </c>
      <c r="C37" s="154" t="str">
        <f>名簿!D25&amp;""</f>
        <v/>
      </c>
    </row>
    <row r="38" spans="1:3" x14ac:dyDescent="0.35">
      <c r="A38" s="154" t="str">
        <f>名簿!B26&amp;""</f>
        <v/>
      </c>
      <c r="B38" s="154" t="str">
        <f>名簿!C26&amp;""</f>
        <v/>
      </c>
      <c r="C38" s="154" t="str">
        <f>名簿!D26&amp;""</f>
        <v/>
      </c>
    </row>
    <row r="39" spans="1:3" x14ac:dyDescent="0.35">
      <c r="A39" s="154" t="str">
        <f>名簿!B27&amp;""</f>
        <v/>
      </c>
      <c r="B39" s="154" t="str">
        <f>名簿!C27&amp;""</f>
        <v/>
      </c>
      <c r="C39" s="154" t="str">
        <f>名簿!D27&amp;""</f>
        <v/>
      </c>
    </row>
    <row r="40" spans="1:3" x14ac:dyDescent="0.35">
      <c r="A40" s="154" t="str">
        <f>名簿!B28&amp;""</f>
        <v/>
      </c>
      <c r="B40" s="154" t="str">
        <f>名簿!C28&amp;""</f>
        <v/>
      </c>
      <c r="C40" s="154" t="str">
        <f>名簿!D28&amp;""</f>
        <v/>
      </c>
    </row>
    <row r="41" spans="1:3" x14ac:dyDescent="0.35">
      <c r="A41" s="154" t="str">
        <f>名簿!B29&amp;""</f>
        <v/>
      </c>
      <c r="B41" s="154" t="str">
        <f>名簿!C29&amp;""</f>
        <v/>
      </c>
      <c r="C41" s="154" t="str">
        <f>名簿!D29&amp;""</f>
        <v/>
      </c>
    </row>
    <row r="42" spans="1:3" x14ac:dyDescent="0.35">
      <c r="A42" s="154" t="str">
        <f>名簿!B30&amp;""</f>
        <v/>
      </c>
      <c r="B42" s="154" t="str">
        <f>名簿!C30&amp;""</f>
        <v/>
      </c>
      <c r="C42" s="154" t="str">
        <f>名簿!D30&amp;""</f>
        <v/>
      </c>
    </row>
    <row r="43" spans="1:3" x14ac:dyDescent="0.35">
      <c r="A43" s="154" t="str">
        <f>名簿!B31&amp;""</f>
        <v/>
      </c>
      <c r="B43" s="154" t="str">
        <f>名簿!C31&amp;""</f>
        <v/>
      </c>
      <c r="C43" s="154" t="str">
        <f>名簿!D31&amp;""</f>
        <v/>
      </c>
    </row>
    <row r="44" spans="1:3" x14ac:dyDescent="0.35">
      <c r="A44" s="154" t="str">
        <f>名簿!B32&amp;""</f>
        <v/>
      </c>
      <c r="B44" s="154" t="str">
        <f>名簿!C32&amp;""</f>
        <v/>
      </c>
      <c r="C44" s="154" t="str">
        <f>名簿!D32&amp;""</f>
        <v/>
      </c>
    </row>
    <row r="45" spans="1:3" x14ac:dyDescent="0.35">
      <c r="A45" s="154" t="str">
        <f>名簿!B33&amp;""</f>
        <v/>
      </c>
      <c r="B45" s="154" t="str">
        <f>名簿!C33&amp;""</f>
        <v/>
      </c>
      <c r="C45" s="154" t="str">
        <f>名簿!D33&amp;""</f>
        <v/>
      </c>
    </row>
    <row r="46" spans="1:3" x14ac:dyDescent="0.35">
      <c r="A46" s="154" t="str">
        <f>名簿!B34&amp;""</f>
        <v/>
      </c>
      <c r="B46" s="154" t="str">
        <f>名簿!C34&amp;""</f>
        <v/>
      </c>
      <c r="C46" s="154" t="str">
        <f>名簿!D34&amp;""</f>
        <v/>
      </c>
    </row>
    <row r="47" spans="1:3" x14ac:dyDescent="0.35">
      <c r="A47" s="154" t="str">
        <f>名簿!B35&amp;""</f>
        <v/>
      </c>
      <c r="B47" s="154" t="str">
        <f>名簿!C35&amp;""</f>
        <v/>
      </c>
      <c r="C47" s="154" t="str">
        <f>名簿!D35&amp;""</f>
        <v/>
      </c>
    </row>
    <row r="48" spans="1:3" x14ac:dyDescent="0.35">
      <c r="A48" s="154" t="str">
        <f>名簿!B36&amp;""</f>
        <v/>
      </c>
      <c r="B48" s="154" t="str">
        <f>名簿!C36&amp;""</f>
        <v/>
      </c>
      <c r="C48" s="154" t="str">
        <f>名簿!D36&amp;""</f>
        <v/>
      </c>
    </row>
    <row r="49" spans="1:3" x14ac:dyDescent="0.35">
      <c r="A49" s="154" t="str">
        <f>名簿!B37&amp;""</f>
        <v/>
      </c>
      <c r="B49" s="154" t="str">
        <f>名簿!C37&amp;""</f>
        <v/>
      </c>
      <c r="C49" s="154" t="str">
        <f>名簿!D37&amp;""</f>
        <v/>
      </c>
    </row>
    <row r="50" spans="1:3" x14ac:dyDescent="0.35">
      <c r="A50" s="154" t="str">
        <f>名簿!B38&amp;""</f>
        <v/>
      </c>
      <c r="B50" s="154" t="str">
        <f>名簿!C38&amp;""</f>
        <v/>
      </c>
      <c r="C50" s="154" t="str">
        <f>名簿!D38&amp;""</f>
        <v/>
      </c>
    </row>
    <row r="51" spans="1:3" x14ac:dyDescent="0.35">
      <c r="A51" s="154" t="str">
        <f>名簿!B39&amp;""</f>
        <v/>
      </c>
      <c r="B51" s="154" t="str">
        <f>名簿!C39&amp;""</f>
        <v/>
      </c>
      <c r="C51" s="154" t="str">
        <f>名簿!D39&amp;""</f>
        <v/>
      </c>
    </row>
    <row r="52" spans="1:3" x14ac:dyDescent="0.35">
      <c r="A52" s="154" t="str">
        <f>名簿!B40&amp;""</f>
        <v/>
      </c>
      <c r="B52" s="154" t="str">
        <f>名簿!C40&amp;""</f>
        <v/>
      </c>
      <c r="C52" s="154" t="str">
        <f>名簿!D40&amp;""</f>
        <v/>
      </c>
    </row>
    <row r="53" spans="1:3" x14ac:dyDescent="0.35">
      <c r="A53" s="154" t="str">
        <f>名簿!B41&amp;""</f>
        <v/>
      </c>
      <c r="B53" s="154" t="str">
        <f>名簿!C41&amp;""</f>
        <v/>
      </c>
      <c r="C53" s="154" t="str">
        <f>名簿!D41&amp;""</f>
        <v/>
      </c>
    </row>
    <row r="54" spans="1:3" x14ac:dyDescent="0.35">
      <c r="A54" s="154" t="str">
        <f>名簿!B42&amp;""</f>
        <v/>
      </c>
      <c r="B54" s="154" t="str">
        <f>名簿!C42&amp;""</f>
        <v/>
      </c>
      <c r="C54" s="154" t="str">
        <f>名簿!D42&amp;""</f>
        <v/>
      </c>
    </row>
    <row r="55" spans="1:3" x14ac:dyDescent="0.35">
      <c r="A55" s="154" t="str">
        <f>名簿!B43&amp;""</f>
        <v/>
      </c>
      <c r="B55" s="154" t="str">
        <f>名簿!C43&amp;""</f>
        <v/>
      </c>
      <c r="C55" s="154" t="str">
        <f>名簿!D43&amp;""</f>
        <v/>
      </c>
    </row>
    <row r="56" spans="1:3" x14ac:dyDescent="0.35">
      <c r="A56" s="154" t="str">
        <f>名簿!B44&amp;""</f>
        <v/>
      </c>
      <c r="B56" s="154" t="str">
        <f>名簿!C44&amp;""</f>
        <v/>
      </c>
      <c r="C56" s="154" t="str">
        <f>名簿!D44&amp;""</f>
        <v/>
      </c>
    </row>
    <row r="57" spans="1:3" x14ac:dyDescent="0.35">
      <c r="A57" s="154" t="str">
        <f>名簿!B45&amp;""</f>
        <v/>
      </c>
      <c r="B57" s="154" t="str">
        <f>名簿!C45&amp;""</f>
        <v/>
      </c>
      <c r="C57" s="154" t="str">
        <f>名簿!D45&amp;""</f>
        <v/>
      </c>
    </row>
    <row r="58" spans="1:3" x14ac:dyDescent="0.35">
      <c r="A58" s="154" t="str">
        <f>名簿!B46&amp;""</f>
        <v/>
      </c>
      <c r="B58" s="154" t="str">
        <f>名簿!C46&amp;""</f>
        <v/>
      </c>
      <c r="C58" s="154" t="str">
        <f>名簿!D46&amp;""</f>
        <v/>
      </c>
    </row>
    <row r="59" spans="1:3" x14ac:dyDescent="0.35">
      <c r="A59" s="154" t="str">
        <f>名簿!B47&amp;""</f>
        <v/>
      </c>
      <c r="B59" s="154" t="str">
        <f>名簿!C47&amp;""</f>
        <v/>
      </c>
      <c r="C59" s="154" t="str">
        <f>名簿!D47&amp;""</f>
        <v/>
      </c>
    </row>
    <row r="60" spans="1:3" x14ac:dyDescent="0.35">
      <c r="A60" s="154" t="str">
        <f>名簿!B48&amp;""</f>
        <v/>
      </c>
      <c r="B60" s="154" t="str">
        <f>名簿!C48&amp;""</f>
        <v/>
      </c>
      <c r="C60" s="154" t="str">
        <f>名簿!D48&amp;""</f>
        <v/>
      </c>
    </row>
    <row r="61" spans="1:3" x14ac:dyDescent="0.35">
      <c r="A61" s="154" t="str">
        <f>名簿!B49&amp;""</f>
        <v/>
      </c>
      <c r="B61" s="154" t="str">
        <f>名簿!C49&amp;""</f>
        <v/>
      </c>
      <c r="C61" s="154" t="str">
        <f>名簿!D49&amp;""</f>
        <v/>
      </c>
    </row>
    <row r="62" spans="1:3" x14ac:dyDescent="0.35">
      <c r="A62" s="154" t="str">
        <f>名簿!B50&amp;""</f>
        <v/>
      </c>
      <c r="B62" s="154" t="str">
        <f>名簿!C50&amp;""</f>
        <v/>
      </c>
      <c r="C62" s="154" t="str">
        <f>名簿!D50&amp;""</f>
        <v/>
      </c>
    </row>
  </sheetData>
  <sheetProtection algorithmName="SHA-512" hashValue="dOYOtm7n5bcr/Zcf85cj7wNVPzAun17KtvyuUdcNhxOObSGM9jD+xV2m7epeL+KfuSbZ2ztjSxoUP0Jisqg0iA==" saltValue="A5NV/SNUHke/11oWvxflcQ==" spinCount="100000" sheet="1" objects="1" formatCells="0" formatColumns="0" formatRows="0"/>
  <phoneticPr fontId="1"/>
  <conditionalFormatting sqref="D19:J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_data.Btm_adjustscore_hide_reveal2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_data.Btn_stats_hide_reveal2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9525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h_individual.ShowAnalysisForm">
                <anchor moveWithCells="1" sizeWithCells="1">
                  <from>
                    <xdr:col>3</xdr:col>
                    <xdr:colOff>19050</xdr:colOff>
                    <xdr:row>0</xdr:row>
                    <xdr:rowOff>9525</xdr:rowOff>
                  </from>
                  <to>
                    <xdr:col>4</xdr:col>
                    <xdr:colOff>495300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sh_individual.ShowAnalysisForm">
                <anchor moveWithCells="1" sizeWithCells="1">
                  <from>
                    <xdr:col>0</xdr:col>
                    <xdr:colOff>0</xdr:colOff>
                    <xdr:row>7</xdr:row>
                    <xdr:rowOff>28575</xdr:rowOff>
                  </from>
                  <to>
                    <xdr:col>1</xdr:col>
                    <xdr:colOff>47625</xdr:colOff>
                    <xdr:row>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K8" sqref="K8"/>
    </sheetView>
  </sheetViews>
  <sheetFormatPr defaultRowHeight="16.5" x14ac:dyDescent="0.4"/>
  <cols>
    <col min="1" max="1" width="11.75" style="81" customWidth="1"/>
    <col min="2" max="2" width="10.375" style="81" customWidth="1"/>
    <col min="3" max="3" width="9.25" style="81" customWidth="1"/>
    <col min="4" max="4" width="5.25" style="81" customWidth="1"/>
    <col min="5" max="974" width="4.875" style="81" customWidth="1"/>
    <col min="975" max="16384" width="9" style="81"/>
  </cols>
  <sheetData>
    <row r="1" spans="1:789" ht="24" x14ac:dyDescent="0.4">
      <c r="A1" s="94" t="s">
        <v>31</v>
      </c>
      <c r="B1" s="82"/>
    </row>
    <row r="2" spans="1:789" ht="19.5" x14ac:dyDescent="0.4">
      <c r="A2" s="81" t="s">
        <v>0</v>
      </c>
      <c r="B2" s="95" t="s">
        <v>6</v>
      </c>
    </row>
    <row r="3" spans="1:789" s="89" customFormat="1" ht="24" customHeight="1" x14ac:dyDescent="0.4">
      <c r="A3" s="81" t="s">
        <v>2</v>
      </c>
      <c r="B3" s="81"/>
    </row>
    <row r="4" spans="1:789" s="90" customFormat="1" x14ac:dyDescent="0.4">
      <c r="A4" s="98" t="s">
        <v>100</v>
      </c>
      <c r="B4" s="98" t="s">
        <v>104</v>
      </c>
      <c r="C4" s="99" t="s">
        <v>35</v>
      </c>
    </row>
    <row r="5" spans="1:789" s="91" customFormat="1" x14ac:dyDescent="0.4">
      <c r="A5" s="98"/>
      <c r="B5" s="98" t="s">
        <v>127</v>
      </c>
      <c r="C5" s="99" t="s">
        <v>4</v>
      </c>
    </row>
    <row r="6" spans="1:789" s="92" customFormat="1" x14ac:dyDescent="0.4">
      <c r="A6" s="98"/>
      <c r="B6" s="98" t="s">
        <v>127</v>
      </c>
      <c r="C6" s="99"/>
    </row>
    <row r="7" spans="1:789" s="92" customFormat="1" ht="18.75" customHeight="1" x14ac:dyDescent="0.4">
      <c r="A7" s="100"/>
      <c r="B7" s="98"/>
      <c r="C7" s="99" t="s">
        <v>93</v>
      </c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  <c r="GW7" s="90"/>
      <c r="GX7" s="90"/>
      <c r="GY7" s="90"/>
      <c r="GZ7" s="90"/>
      <c r="HA7" s="90"/>
      <c r="HB7" s="90"/>
      <c r="HC7" s="90"/>
      <c r="HD7" s="90"/>
      <c r="HE7" s="90"/>
      <c r="HF7" s="90"/>
      <c r="HG7" s="90"/>
      <c r="HH7" s="90"/>
      <c r="HI7" s="90"/>
      <c r="HJ7" s="90"/>
      <c r="HK7" s="90"/>
      <c r="HL7" s="90"/>
      <c r="HM7" s="90"/>
      <c r="HN7" s="90"/>
      <c r="HO7" s="90"/>
      <c r="HP7" s="90"/>
      <c r="HQ7" s="90"/>
      <c r="HR7" s="90"/>
      <c r="HS7" s="90"/>
      <c r="HT7" s="90"/>
      <c r="HU7" s="90"/>
      <c r="HV7" s="90"/>
      <c r="HW7" s="90"/>
      <c r="HX7" s="90"/>
      <c r="HY7" s="90"/>
      <c r="HZ7" s="90"/>
      <c r="IA7" s="90"/>
      <c r="IB7" s="90"/>
      <c r="IC7" s="90"/>
      <c r="ID7" s="90"/>
      <c r="IE7" s="90"/>
      <c r="IF7" s="90"/>
      <c r="IG7" s="90"/>
      <c r="IH7" s="90"/>
      <c r="II7" s="90"/>
      <c r="IJ7" s="90"/>
      <c r="IK7" s="90"/>
      <c r="IL7" s="90"/>
      <c r="IM7" s="90"/>
      <c r="IN7" s="90"/>
      <c r="IO7" s="90"/>
      <c r="IP7" s="90"/>
      <c r="IQ7" s="90"/>
      <c r="IR7" s="90"/>
      <c r="IS7" s="90"/>
      <c r="IT7" s="90"/>
      <c r="IU7" s="90"/>
      <c r="IV7" s="90"/>
      <c r="IW7" s="90"/>
      <c r="IX7" s="90"/>
      <c r="IY7" s="90"/>
      <c r="IZ7" s="90"/>
      <c r="JA7" s="90"/>
      <c r="JB7" s="90"/>
      <c r="JC7" s="90"/>
      <c r="JD7" s="90"/>
      <c r="JE7" s="90"/>
      <c r="JF7" s="90"/>
      <c r="JG7" s="90"/>
      <c r="JH7" s="90"/>
      <c r="JI7" s="90"/>
      <c r="JJ7" s="90"/>
      <c r="JK7" s="90"/>
      <c r="JL7" s="90"/>
      <c r="JM7" s="90"/>
      <c r="JN7" s="90"/>
      <c r="JO7" s="90"/>
      <c r="JP7" s="90"/>
      <c r="JQ7" s="90"/>
      <c r="JR7" s="90"/>
      <c r="JS7" s="90"/>
      <c r="JT7" s="90"/>
      <c r="JU7" s="90"/>
      <c r="JV7" s="90"/>
      <c r="JW7" s="90"/>
      <c r="JX7" s="90"/>
      <c r="JY7" s="90"/>
      <c r="JZ7" s="90"/>
      <c r="KA7" s="90"/>
      <c r="KB7" s="90"/>
      <c r="KC7" s="90"/>
      <c r="KD7" s="90"/>
      <c r="KE7" s="90"/>
      <c r="KF7" s="90"/>
      <c r="KG7" s="90"/>
      <c r="KH7" s="90"/>
      <c r="KI7" s="90"/>
      <c r="KJ7" s="90"/>
      <c r="KK7" s="90"/>
      <c r="KL7" s="90"/>
      <c r="KM7" s="90"/>
      <c r="KN7" s="90"/>
      <c r="KO7" s="90"/>
      <c r="KP7" s="90"/>
      <c r="KQ7" s="90"/>
      <c r="KR7" s="90"/>
      <c r="KS7" s="90"/>
      <c r="KT7" s="90"/>
      <c r="KU7" s="90"/>
      <c r="KV7" s="90"/>
      <c r="KW7" s="90"/>
      <c r="KX7" s="90"/>
      <c r="KY7" s="90"/>
      <c r="KZ7" s="90"/>
      <c r="LA7" s="90"/>
      <c r="LB7" s="90"/>
      <c r="LC7" s="90"/>
      <c r="LD7" s="90"/>
      <c r="LE7" s="90"/>
      <c r="LF7" s="90"/>
      <c r="LG7" s="90"/>
      <c r="LH7" s="90"/>
      <c r="LI7" s="90"/>
      <c r="LJ7" s="90"/>
      <c r="LK7" s="90"/>
      <c r="LL7" s="90"/>
      <c r="LM7" s="90"/>
      <c r="LN7" s="90"/>
      <c r="LO7" s="90"/>
      <c r="LP7" s="90"/>
      <c r="LQ7" s="90"/>
      <c r="LR7" s="90"/>
      <c r="LS7" s="90"/>
      <c r="LT7" s="90"/>
      <c r="LU7" s="90"/>
      <c r="LV7" s="90"/>
      <c r="LW7" s="90"/>
      <c r="LX7" s="90"/>
      <c r="LY7" s="90"/>
      <c r="LZ7" s="90"/>
      <c r="MA7" s="90"/>
      <c r="MB7" s="90"/>
      <c r="MC7" s="90"/>
      <c r="MD7" s="90"/>
      <c r="ME7" s="90"/>
      <c r="MF7" s="90"/>
      <c r="MG7" s="90"/>
      <c r="MH7" s="90"/>
      <c r="MI7" s="90"/>
      <c r="MJ7" s="90"/>
      <c r="MK7" s="90"/>
      <c r="ML7" s="90"/>
      <c r="MM7" s="90"/>
      <c r="MN7" s="90"/>
      <c r="MO7" s="90"/>
      <c r="MP7" s="90"/>
      <c r="MQ7" s="90"/>
      <c r="MR7" s="90"/>
      <c r="MS7" s="90"/>
      <c r="MT7" s="90"/>
      <c r="MU7" s="90"/>
      <c r="MV7" s="90"/>
      <c r="MW7" s="90"/>
      <c r="MX7" s="90"/>
      <c r="MY7" s="90"/>
      <c r="MZ7" s="90"/>
      <c r="NA7" s="90"/>
      <c r="NB7" s="90"/>
      <c r="NC7" s="90"/>
      <c r="ND7" s="90"/>
      <c r="NE7" s="90"/>
      <c r="NF7" s="90"/>
      <c r="NG7" s="90"/>
      <c r="NH7" s="90"/>
      <c r="NI7" s="90"/>
      <c r="NJ7" s="90"/>
      <c r="NK7" s="90"/>
      <c r="NL7" s="90"/>
      <c r="NM7" s="90"/>
      <c r="NN7" s="90"/>
      <c r="NO7" s="90"/>
      <c r="NP7" s="90"/>
      <c r="NQ7" s="90"/>
      <c r="NR7" s="90"/>
      <c r="NS7" s="90"/>
      <c r="NT7" s="90"/>
      <c r="NU7" s="90"/>
      <c r="NV7" s="90"/>
      <c r="NW7" s="90"/>
      <c r="NX7" s="90"/>
      <c r="NY7" s="90"/>
      <c r="NZ7" s="90"/>
      <c r="OA7" s="90"/>
      <c r="OB7" s="90"/>
      <c r="OC7" s="90"/>
      <c r="OD7" s="90"/>
      <c r="OE7" s="90"/>
      <c r="OF7" s="90"/>
      <c r="OG7" s="90"/>
      <c r="OH7" s="90"/>
      <c r="OI7" s="90"/>
      <c r="OJ7" s="90"/>
      <c r="OK7" s="90"/>
      <c r="OL7" s="90"/>
      <c r="OM7" s="90"/>
      <c r="ON7" s="90"/>
      <c r="OO7" s="90"/>
      <c r="OP7" s="90"/>
      <c r="OQ7" s="90"/>
      <c r="OR7" s="90"/>
      <c r="OS7" s="90"/>
      <c r="OT7" s="90"/>
      <c r="OU7" s="90"/>
      <c r="OV7" s="90"/>
      <c r="OW7" s="90"/>
      <c r="OX7" s="90"/>
      <c r="OY7" s="90"/>
      <c r="OZ7" s="90"/>
      <c r="PA7" s="90"/>
      <c r="PB7" s="90"/>
      <c r="PC7" s="90"/>
      <c r="PD7" s="90"/>
      <c r="PE7" s="90"/>
      <c r="PF7" s="90"/>
      <c r="PG7" s="90"/>
      <c r="PH7" s="90"/>
      <c r="PI7" s="90"/>
      <c r="PJ7" s="90"/>
      <c r="PK7" s="90"/>
      <c r="PL7" s="90"/>
      <c r="PM7" s="90"/>
      <c r="PN7" s="90"/>
      <c r="PO7" s="90"/>
      <c r="PP7" s="90"/>
      <c r="PQ7" s="90"/>
      <c r="PR7" s="90"/>
      <c r="PS7" s="90"/>
      <c r="PT7" s="90"/>
      <c r="PU7" s="90"/>
      <c r="PV7" s="90"/>
      <c r="PW7" s="90"/>
      <c r="PX7" s="90"/>
      <c r="PY7" s="90"/>
      <c r="PZ7" s="90"/>
      <c r="QA7" s="90"/>
      <c r="QB7" s="90"/>
      <c r="QC7" s="90"/>
      <c r="QD7" s="90"/>
      <c r="QE7" s="90"/>
      <c r="QF7" s="90"/>
      <c r="QG7" s="90"/>
      <c r="QH7" s="90"/>
      <c r="QI7" s="90"/>
      <c r="QJ7" s="90"/>
      <c r="QK7" s="90"/>
      <c r="QL7" s="90"/>
      <c r="QM7" s="90"/>
      <c r="QN7" s="90"/>
      <c r="QO7" s="90"/>
      <c r="QP7" s="90"/>
      <c r="QQ7" s="90"/>
      <c r="QR7" s="90"/>
      <c r="QS7" s="90"/>
      <c r="QT7" s="90"/>
      <c r="QU7" s="90"/>
      <c r="QV7" s="90"/>
      <c r="QW7" s="90"/>
      <c r="QX7" s="90"/>
      <c r="QY7" s="90"/>
      <c r="QZ7" s="90"/>
      <c r="RA7" s="90"/>
      <c r="RB7" s="90"/>
      <c r="RC7" s="90"/>
      <c r="RD7" s="90"/>
      <c r="RE7" s="90"/>
      <c r="RF7" s="90"/>
      <c r="RG7" s="90"/>
      <c r="RH7" s="90"/>
      <c r="RI7" s="90"/>
      <c r="RJ7" s="90"/>
      <c r="RK7" s="90"/>
      <c r="RL7" s="90"/>
      <c r="RM7" s="90"/>
      <c r="RN7" s="90"/>
      <c r="RO7" s="90"/>
      <c r="RP7" s="90"/>
      <c r="RQ7" s="90"/>
      <c r="RR7" s="90"/>
      <c r="RS7" s="90"/>
      <c r="RT7" s="90"/>
      <c r="RU7" s="90"/>
      <c r="RV7" s="90"/>
      <c r="RW7" s="90"/>
      <c r="RX7" s="90"/>
      <c r="RY7" s="90"/>
      <c r="RZ7" s="90"/>
      <c r="SA7" s="90"/>
      <c r="SB7" s="90"/>
      <c r="SC7" s="90"/>
      <c r="SD7" s="90"/>
      <c r="SE7" s="90"/>
      <c r="SF7" s="90"/>
      <c r="SG7" s="90"/>
      <c r="SH7" s="90"/>
      <c r="SI7" s="90"/>
      <c r="SJ7" s="90"/>
      <c r="SK7" s="90"/>
      <c r="SL7" s="90"/>
      <c r="SM7" s="90"/>
      <c r="SN7" s="90"/>
      <c r="SO7" s="90"/>
      <c r="SP7" s="90"/>
      <c r="SQ7" s="90"/>
      <c r="SR7" s="90"/>
      <c r="SS7" s="90"/>
      <c r="ST7" s="90"/>
      <c r="SU7" s="90"/>
      <c r="SV7" s="90"/>
      <c r="SW7" s="90"/>
      <c r="SX7" s="90"/>
      <c r="SY7" s="90"/>
      <c r="SZ7" s="90"/>
      <c r="TA7" s="90"/>
      <c r="TB7" s="90"/>
      <c r="TC7" s="90"/>
      <c r="TD7" s="90"/>
      <c r="TE7" s="90"/>
      <c r="TF7" s="90"/>
      <c r="TG7" s="90"/>
      <c r="TH7" s="90"/>
      <c r="TI7" s="90"/>
      <c r="TJ7" s="90"/>
      <c r="TK7" s="90"/>
      <c r="TL7" s="90"/>
      <c r="TM7" s="90"/>
      <c r="TN7" s="90"/>
      <c r="TO7" s="90"/>
      <c r="TP7" s="90"/>
      <c r="TQ7" s="90"/>
      <c r="TR7" s="90"/>
      <c r="TS7" s="90"/>
      <c r="TT7" s="90"/>
      <c r="TU7" s="90"/>
      <c r="TV7" s="90"/>
      <c r="TW7" s="90"/>
      <c r="TX7" s="90"/>
      <c r="TY7" s="90"/>
      <c r="TZ7" s="90"/>
      <c r="UA7" s="90"/>
      <c r="UB7" s="90"/>
      <c r="UC7" s="90"/>
      <c r="UD7" s="90"/>
      <c r="UE7" s="90"/>
      <c r="UF7" s="90"/>
      <c r="UG7" s="90"/>
      <c r="UH7" s="90"/>
      <c r="UI7" s="90"/>
      <c r="UJ7" s="90"/>
      <c r="UK7" s="90"/>
      <c r="UL7" s="90"/>
      <c r="UM7" s="90"/>
      <c r="UN7" s="90"/>
      <c r="UO7" s="90"/>
      <c r="UP7" s="90"/>
      <c r="UQ7" s="90"/>
      <c r="UR7" s="90"/>
      <c r="US7" s="90"/>
      <c r="UT7" s="90"/>
      <c r="UU7" s="90"/>
      <c r="UV7" s="90"/>
      <c r="UW7" s="90"/>
      <c r="UX7" s="90"/>
      <c r="UY7" s="90"/>
      <c r="UZ7" s="90"/>
      <c r="VA7" s="90"/>
      <c r="VB7" s="90"/>
      <c r="VC7" s="90"/>
      <c r="VD7" s="90"/>
      <c r="VE7" s="90"/>
      <c r="VF7" s="90"/>
      <c r="VG7" s="90"/>
      <c r="VH7" s="90"/>
      <c r="VI7" s="90"/>
      <c r="VJ7" s="90"/>
      <c r="VK7" s="90"/>
      <c r="VL7" s="90"/>
      <c r="VM7" s="90"/>
      <c r="VN7" s="90"/>
      <c r="VO7" s="90"/>
      <c r="VP7" s="90"/>
      <c r="VQ7" s="90"/>
      <c r="VR7" s="90"/>
      <c r="VS7" s="90"/>
      <c r="VT7" s="90"/>
      <c r="VU7" s="90"/>
      <c r="VV7" s="90"/>
      <c r="VW7" s="90"/>
      <c r="VX7" s="90"/>
      <c r="VY7" s="90"/>
      <c r="VZ7" s="90"/>
      <c r="WA7" s="90"/>
      <c r="WB7" s="90"/>
      <c r="WC7" s="90"/>
      <c r="WD7" s="90"/>
      <c r="WE7" s="90"/>
      <c r="WF7" s="90"/>
      <c r="WG7" s="90"/>
      <c r="WH7" s="90"/>
      <c r="WI7" s="90"/>
      <c r="WJ7" s="90"/>
      <c r="WK7" s="90"/>
      <c r="WL7" s="90"/>
      <c r="WM7" s="90"/>
      <c r="WN7" s="90"/>
      <c r="WO7" s="90"/>
      <c r="WP7" s="90"/>
      <c r="WQ7" s="90"/>
      <c r="WR7" s="90"/>
      <c r="WS7" s="90"/>
      <c r="WT7" s="90"/>
      <c r="WU7" s="90"/>
      <c r="WV7" s="90"/>
      <c r="WW7" s="90"/>
      <c r="WX7" s="90"/>
      <c r="WY7" s="90"/>
      <c r="WZ7" s="90"/>
      <c r="XA7" s="90"/>
      <c r="XB7" s="90"/>
      <c r="XC7" s="90"/>
      <c r="XD7" s="90"/>
      <c r="XE7" s="90"/>
      <c r="XF7" s="90"/>
      <c r="XG7" s="90"/>
      <c r="XH7" s="90"/>
      <c r="XI7" s="90"/>
      <c r="XJ7" s="90"/>
      <c r="XK7" s="90"/>
      <c r="XL7" s="90"/>
      <c r="XM7" s="90"/>
      <c r="XN7" s="90"/>
      <c r="XO7" s="90"/>
      <c r="XP7" s="90"/>
      <c r="XQ7" s="90"/>
      <c r="XR7" s="90"/>
      <c r="XS7" s="90"/>
      <c r="XT7" s="90"/>
      <c r="XU7" s="90"/>
      <c r="XV7" s="90"/>
      <c r="XW7" s="90"/>
      <c r="XX7" s="90"/>
      <c r="XY7" s="90"/>
      <c r="XZ7" s="90"/>
      <c r="YA7" s="90"/>
      <c r="YB7" s="90"/>
      <c r="YC7" s="90"/>
      <c r="YD7" s="90"/>
      <c r="YE7" s="90"/>
      <c r="YF7" s="90"/>
      <c r="YG7" s="90"/>
      <c r="YH7" s="90"/>
      <c r="YI7" s="90"/>
      <c r="YJ7" s="90"/>
      <c r="YK7" s="90"/>
      <c r="YL7" s="90"/>
      <c r="YM7" s="90"/>
      <c r="YN7" s="90"/>
      <c r="YO7" s="90"/>
      <c r="YP7" s="90"/>
      <c r="YQ7" s="90"/>
      <c r="YR7" s="90"/>
      <c r="YS7" s="90"/>
      <c r="YT7" s="90"/>
      <c r="YU7" s="90"/>
      <c r="YV7" s="90"/>
      <c r="YW7" s="90"/>
      <c r="YX7" s="90"/>
      <c r="YY7" s="90"/>
      <c r="YZ7" s="90"/>
      <c r="ZA7" s="90"/>
      <c r="ZB7" s="90"/>
      <c r="ZC7" s="90"/>
      <c r="ZD7" s="90"/>
      <c r="ZE7" s="90"/>
      <c r="ZF7" s="90"/>
      <c r="ZG7" s="90"/>
      <c r="ZH7" s="90"/>
      <c r="ZI7" s="90"/>
      <c r="ZJ7" s="90"/>
      <c r="ZK7" s="90"/>
      <c r="ZL7" s="90"/>
      <c r="ZM7" s="90"/>
      <c r="ZN7" s="90"/>
      <c r="ZO7" s="90"/>
      <c r="ZP7" s="90"/>
      <c r="ZQ7" s="90"/>
      <c r="ZR7" s="90"/>
      <c r="ZS7" s="90"/>
      <c r="ZT7" s="90"/>
      <c r="ZU7" s="90"/>
      <c r="ZV7" s="90"/>
      <c r="ZW7" s="90"/>
      <c r="ZX7" s="90"/>
      <c r="ZY7" s="90"/>
      <c r="ZZ7" s="90"/>
      <c r="AAA7" s="90"/>
      <c r="AAB7" s="90"/>
      <c r="AAC7" s="90"/>
      <c r="AAD7" s="90"/>
      <c r="AAE7" s="90"/>
      <c r="AAF7" s="90"/>
      <c r="AAG7" s="90"/>
      <c r="AAH7" s="90"/>
      <c r="AAI7" s="90"/>
      <c r="AAJ7" s="90"/>
      <c r="AAK7" s="90"/>
      <c r="AAL7" s="90"/>
      <c r="AAM7" s="90"/>
      <c r="AAN7" s="90"/>
      <c r="AAO7" s="90"/>
      <c r="AAP7" s="90"/>
      <c r="AAQ7" s="90"/>
      <c r="AAR7" s="90"/>
      <c r="AAS7" s="90"/>
      <c r="AAT7" s="90"/>
      <c r="AAU7" s="90"/>
      <c r="AAV7" s="90"/>
      <c r="AAW7" s="90"/>
      <c r="AAX7" s="90"/>
      <c r="AAY7" s="90"/>
      <c r="AAZ7" s="90"/>
      <c r="ABA7" s="90"/>
      <c r="ABB7" s="90"/>
      <c r="ABC7" s="90"/>
      <c r="ABD7" s="90"/>
      <c r="ABE7" s="90"/>
      <c r="ABF7" s="90"/>
      <c r="ABG7" s="90"/>
      <c r="ABH7" s="90"/>
      <c r="ABI7" s="90"/>
      <c r="ABJ7" s="90"/>
      <c r="ABK7" s="90"/>
      <c r="ABL7" s="90"/>
      <c r="ABM7" s="90"/>
      <c r="ABN7" s="90"/>
      <c r="ABO7" s="90"/>
      <c r="ABP7" s="90"/>
      <c r="ABQ7" s="90"/>
      <c r="ABR7" s="90"/>
      <c r="ABS7" s="90"/>
      <c r="ABT7" s="90"/>
      <c r="ABU7" s="90"/>
      <c r="ABV7" s="90"/>
      <c r="ABW7" s="90"/>
      <c r="ABX7" s="90"/>
      <c r="ABY7" s="90"/>
      <c r="ABZ7" s="90"/>
      <c r="ACA7" s="90"/>
      <c r="ACB7" s="90"/>
      <c r="ACC7" s="90"/>
      <c r="ACD7" s="90"/>
      <c r="ACE7" s="90"/>
      <c r="ACF7" s="90"/>
      <c r="ACG7" s="90"/>
      <c r="ACH7" s="90"/>
      <c r="ACI7" s="90"/>
      <c r="ACJ7" s="90"/>
      <c r="ACK7" s="90"/>
      <c r="ACL7" s="90"/>
      <c r="ACM7" s="90"/>
      <c r="ACN7" s="90"/>
      <c r="ACO7" s="90"/>
      <c r="ACP7" s="90"/>
      <c r="ACQ7" s="90"/>
      <c r="ACR7" s="90"/>
      <c r="ACS7" s="90"/>
      <c r="ACT7" s="90"/>
      <c r="ACU7" s="90"/>
      <c r="ACV7" s="90"/>
      <c r="ACW7" s="90"/>
      <c r="ACX7" s="90"/>
      <c r="ACY7" s="90"/>
      <c r="ACZ7" s="90"/>
      <c r="ADA7" s="90"/>
      <c r="ADB7" s="90"/>
      <c r="ADC7" s="90"/>
      <c r="ADD7" s="90"/>
      <c r="ADE7" s="90"/>
      <c r="ADF7" s="90"/>
      <c r="ADG7" s="90"/>
      <c r="ADH7" s="90"/>
      <c r="ADI7" s="90"/>
    </row>
    <row r="8" spans="1:789" s="93" customFormat="1" ht="123" customHeight="1" x14ac:dyDescent="0.4">
      <c r="A8" s="101"/>
      <c r="B8" s="101"/>
      <c r="C8" s="99" t="s">
        <v>1</v>
      </c>
    </row>
    <row r="9" spans="1:789" x14ac:dyDescent="0.4">
      <c r="A9" s="98"/>
      <c r="B9" s="98"/>
      <c r="C9" s="99" t="s">
        <v>2</v>
      </c>
    </row>
    <row r="10" spans="1:789" x14ac:dyDescent="0.4">
      <c r="A10" s="98"/>
      <c r="B10" s="98"/>
      <c r="C10" s="99" t="s">
        <v>79</v>
      </c>
    </row>
    <row r="11" spans="1:789" x14ac:dyDescent="0.4">
      <c r="A11" s="98"/>
      <c r="B11" s="98"/>
      <c r="C11" s="99" t="s">
        <v>98</v>
      </c>
    </row>
    <row r="12" spans="1:789" hidden="1" x14ac:dyDescent="0.4">
      <c r="A12" s="98"/>
      <c r="B12" s="98"/>
      <c r="C12" s="99" t="s">
        <v>68</v>
      </c>
    </row>
    <row r="13" spans="1:789" hidden="1" x14ac:dyDescent="0.4">
      <c r="A13" s="98"/>
      <c r="B13" s="98"/>
      <c r="C13" s="99" t="s">
        <v>69</v>
      </c>
    </row>
    <row r="14" spans="1:789" hidden="1" x14ac:dyDescent="0.4">
      <c r="A14" s="98"/>
      <c r="B14" s="98"/>
      <c r="C14" s="99" t="s">
        <v>67</v>
      </c>
    </row>
    <row r="15" spans="1:789" hidden="1" x14ac:dyDescent="0.4">
      <c r="A15" s="98"/>
      <c r="B15" s="98"/>
      <c r="C15" s="99" t="s">
        <v>70</v>
      </c>
    </row>
    <row r="16" spans="1:789" hidden="1" x14ac:dyDescent="0.4">
      <c r="A16" s="98"/>
      <c r="B16" s="98"/>
      <c r="C16" s="99" t="s">
        <v>72</v>
      </c>
    </row>
    <row r="17" spans="1:3" x14ac:dyDescent="0.4">
      <c r="A17" s="98"/>
      <c r="B17" s="98"/>
      <c r="C17" s="99" t="s">
        <v>73</v>
      </c>
    </row>
    <row r="18" spans="1:3" x14ac:dyDescent="0.4">
      <c r="A18" s="98"/>
      <c r="B18" s="98"/>
      <c r="C18" s="99" t="s">
        <v>58</v>
      </c>
    </row>
    <row r="19" spans="1:3" hidden="1" x14ac:dyDescent="0.4">
      <c r="A19" s="98"/>
      <c r="B19" s="98"/>
      <c r="C19" s="99" t="s">
        <v>11</v>
      </c>
    </row>
    <row r="20" spans="1:3" hidden="1" x14ac:dyDescent="0.4">
      <c r="A20" s="98"/>
      <c r="B20" s="98"/>
      <c r="C20" s="99" t="s">
        <v>12</v>
      </c>
    </row>
    <row r="21" spans="1:3" hidden="1" x14ac:dyDescent="0.4">
      <c r="A21" s="98"/>
      <c r="B21" s="98"/>
      <c r="C21" s="99" t="s">
        <v>13</v>
      </c>
    </row>
    <row r="22" spans="1:3" ht="17.25" hidden="1" thickBot="1" x14ac:dyDescent="0.45">
      <c r="A22" s="102"/>
      <c r="B22" s="102"/>
      <c r="C22" s="103" t="s">
        <v>23</v>
      </c>
    </row>
    <row r="23" spans="1:3" x14ac:dyDescent="0.4">
      <c r="A23" s="81" t="str">
        <f>名簿!B11&amp;""</f>
        <v/>
      </c>
      <c r="B23" s="81" t="str">
        <f>名簿!C11&amp;""</f>
        <v/>
      </c>
      <c r="C23" s="81" t="str">
        <f>名簿!D11&amp;""</f>
        <v/>
      </c>
    </row>
    <row r="24" spans="1:3" x14ac:dyDescent="0.4">
      <c r="A24" s="81" t="str">
        <f>名簿!B12&amp;""</f>
        <v/>
      </c>
      <c r="B24" s="81" t="str">
        <f>名簿!C12&amp;""</f>
        <v/>
      </c>
      <c r="C24" s="81" t="str">
        <f>名簿!D12&amp;""</f>
        <v/>
      </c>
    </row>
    <row r="25" spans="1:3" x14ac:dyDescent="0.4">
      <c r="A25" s="81" t="str">
        <f>名簿!B13&amp;""</f>
        <v/>
      </c>
      <c r="B25" s="81" t="str">
        <f>名簿!C13&amp;""</f>
        <v/>
      </c>
      <c r="C25" s="81" t="str">
        <f>名簿!D13&amp;""</f>
        <v/>
      </c>
    </row>
    <row r="26" spans="1:3" x14ac:dyDescent="0.4">
      <c r="A26" s="81" t="str">
        <f>名簿!B14&amp;""</f>
        <v/>
      </c>
      <c r="B26" s="81" t="str">
        <f>名簿!C14&amp;""</f>
        <v/>
      </c>
      <c r="C26" s="81" t="str">
        <f>名簿!D14&amp;""</f>
        <v/>
      </c>
    </row>
    <row r="27" spans="1:3" x14ac:dyDescent="0.4">
      <c r="A27" s="81" t="str">
        <f>名簿!B15&amp;""</f>
        <v/>
      </c>
      <c r="B27" s="81" t="str">
        <f>名簿!C15&amp;""</f>
        <v/>
      </c>
      <c r="C27" s="81" t="str">
        <f>名簿!D15&amp;""</f>
        <v/>
      </c>
    </row>
    <row r="28" spans="1:3" x14ac:dyDescent="0.4">
      <c r="A28" s="81" t="str">
        <f>名簿!B16&amp;""</f>
        <v/>
      </c>
      <c r="B28" s="81" t="str">
        <f>名簿!C16&amp;""</f>
        <v/>
      </c>
      <c r="C28" s="81" t="str">
        <f>名簿!D16&amp;""</f>
        <v/>
      </c>
    </row>
    <row r="29" spans="1:3" x14ac:dyDescent="0.4">
      <c r="A29" s="81" t="str">
        <f>名簿!B17&amp;""</f>
        <v/>
      </c>
      <c r="B29" s="81" t="str">
        <f>名簿!C17&amp;""</f>
        <v/>
      </c>
      <c r="C29" s="81" t="str">
        <f>名簿!D17&amp;""</f>
        <v/>
      </c>
    </row>
    <row r="30" spans="1:3" x14ac:dyDescent="0.4">
      <c r="A30" s="81" t="str">
        <f>名簿!B18&amp;""</f>
        <v/>
      </c>
      <c r="B30" s="81" t="str">
        <f>名簿!C18&amp;""</f>
        <v/>
      </c>
      <c r="C30" s="81" t="str">
        <f>名簿!D18&amp;""</f>
        <v/>
      </c>
    </row>
    <row r="31" spans="1:3" x14ac:dyDescent="0.4">
      <c r="A31" s="81" t="str">
        <f>名簿!B19&amp;""</f>
        <v/>
      </c>
      <c r="B31" s="81" t="str">
        <f>名簿!C19&amp;""</f>
        <v/>
      </c>
      <c r="C31" s="81" t="str">
        <f>名簿!D19&amp;""</f>
        <v/>
      </c>
    </row>
    <row r="32" spans="1:3" x14ac:dyDescent="0.4">
      <c r="A32" s="81" t="str">
        <f>名簿!B20&amp;""</f>
        <v/>
      </c>
      <c r="B32" s="81" t="str">
        <f>名簿!C20&amp;""</f>
        <v/>
      </c>
      <c r="C32" s="81" t="str">
        <f>名簿!D20&amp;""</f>
        <v/>
      </c>
    </row>
    <row r="33" spans="1:3" x14ac:dyDescent="0.4">
      <c r="A33" s="81" t="str">
        <f>名簿!B21&amp;""</f>
        <v/>
      </c>
      <c r="B33" s="81" t="str">
        <f>名簿!C21&amp;""</f>
        <v/>
      </c>
      <c r="C33" s="81" t="str">
        <f>名簿!D21&amp;""</f>
        <v/>
      </c>
    </row>
    <row r="34" spans="1:3" x14ac:dyDescent="0.4">
      <c r="A34" s="81" t="str">
        <f>名簿!B22&amp;""</f>
        <v/>
      </c>
      <c r="B34" s="81" t="str">
        <f>名簿!C22&amp;""</f>
        <v/>
      </c>
      <c r="C34" s="81" t="str">
        <f>名簿!D22&amp;""</f>
        <v/>
      </c>
    </row>
    <row r="35" spans="1:3" x14ac:dyDescent="0.4">
      <c r="A35" s="81" t="str">
        <f>名簿!B23&amp;""</f>
        <v/>
      </c>
      <c r="B35" s="81" t="str">
        <f>名簿!C23&amp;""</f>
        <v/>
      </c>
      <c r="C35" s="81" t="str">
        <f>名簿!D23&amp;""</f>
        <v/>
      </c>
    </row>
    <row r="36" spans="1:3" x14ac:dyDescent="0.4">
      <c r="A36" s="81" t="str">
        <f>名簿!B24&amp;""</f>
        <v/>
      </c>
      <c r="B36" s="81" t="str">
        <f>名簿!C24&amp;""</f>
        <v/>
      </c>
      <c r="C36" s="81" t="str">
        <f>名簿!D24&amp;""</f>
        <v/>
      </c>
    </row>
    <row r="37" spans="1:3" x14ac:dyDescent="0.4">
      <c r="A37" s="81" t="str">
        <f>名簿!B25&amp;""</f>
        <v/>
      </c>
      <c r="B37" s="81" t="str">
        <f>名簿!C25&amp;""</f>
        <v/>
      </c>
      <c r="C37" s="81" t="str">
        <f>名簿!D25&amp;""</f>
        <v/>
      </c>
    </row>
    <row r="38" spans="1:3" x14ac:dyDescent="0.4">
      <c r="A38" s="81" t="str">
        <f>名簿!B26&amp;""</f>
        <v/>
      </c>
      <c r="B38" s="81" t="str">
        <f>名簿!C26&amp;""</f>
        <v/>
      </c>
      <c r="C38" s="81" t="str">
        <f>名簿!D26&amp;""</f>
        <v/>
      </c>
    </row>
    <row r="39" spans="1:3" x14ac:dyDescent="0.4">
      <c r="A39" s="81" t="str">
        <f>名簿!B27&amp;""</f>
        <v/>
      </c>
      <c r="B39" s="81" t="str">
        <f>名簿!C27&amp;""</f>
        <v/>
      </c>
      <c r="C39" s="81" t="str">
        <f>名簿!D27&amp;""</f>
        <v/>
      </c>
    </row>
    <row r="40" spans="1:3" x14ac:dyDescent="0.4">
      <c r="A40" s="81" t="str">
        <f>名簿!B28&amp;""</f>
        <v/>
      </c>
      <c r="B40" s="81" t="str">
        <f>名簿!C28&amp;""</f>
        <v/>
      </c>
      <c r="C40" s="81" t="str">
        <f>名簿!D28&amp;""</f>
        <v/>
      </c>
    </row>
    <row r="41" spans="1:3" x14ac:dyDescent="0.4">
      <c r="A41" s="81" t="str">
        <f>名簿!B29&amp;""</f>
        <v/>
      </c>
      <c r="B41" s="81" t="str">
        <f>名簿!C29&amp;""</f>
        <v/>
      </c>
      <c r="C41" s="81" t="str">
        <f>名簿!D29&amp;""</f>
        <v/>
      </c>
    </row>
    <row r="42" spans="1:3" x14ac:dyDescent="0.4">
      <c r="A42" s="81" t="str">
        <f>名簿!B30&amp;""</f>
        <v/>
      </c>
      <c r="B42" s="81" t="str">
        <f>名簿!C30&amp;""</f>
        <v/>
      </c>
      <c r="C42" s="81" t="str">
        <f>名簿!D30&amp;""</f>
        <v/>
      </c>
    </row>
    <row r="43" spans="1:3" x14ac:dyDescent="0.4">
      <c r="A43" s="81" t="str">
        <f>名簿!B31&amp;""</f>
        <v/>
      </c>
      <c r="B43" s="81" t="str">
        <f>名簿!C31&amp;""</f>
        <v/>
      </c>
      <c r="C43" s="81" t="str">
        <f>名簿!D31&amp;""</f>
        <v/>
      </c>
    </row>
    <row r="44" spans="1:3" x14ac:dyDescent="0.4">
      <c r="A44" s="81" t="str">
        <f>名簿!B32&amp;""</f>
        <v/>
      </c>
      <c r="B44" s="81" t="str">
        <f>名簿!C32&amp;""</f>
        <v/>
      </c>
      <c r="C44" s="81" t="str">
        <f>名簿!D32&amp;""</f>
        <v/>
      </c>
    </row>
    <row r="45" spans="1:3" x14ac:dyDescent="0.4">
      <c r="A45" s="81" t="str">
        <f>名簿!B33&amp;""</f>
        <v/>
      </c>
      <c r="B45" s="81" t="str">
        <f>名簿!C33&amp;""</f>
        <v/>
      </c>
      <c r="C45" s="81" t="str">
        <f>名簿!D33&amp;""</f>
        <v/>
      </c>
    </row>
    <row r="46" spans="1:3" x14ac:dyDescent="0.4">
      <c r="A46" s="81" t="str">
        <f>名簿!B34&amp;""</f>
        <v/>
      </c>
      <c r="B46" s="81" t="str">
        <f>名簿!C34&amp;""</f>
        <v/>
      </c>
      <c r="C46" s="81" t="str">
        <f>名簿!D34&amp;""</f>
        <v/>
      </c>
    </row>
    <row r="47" spans="1:3" x14ac:dyDescent="0.4">
      <c r="A47" s="81" t="str">
        <f>名簿!B35&amp;""</f>
        <v/>
      </c>
      <c r="B47" s="81" t="str">
        <f>名簿!C35&amp;""</f>
        <v/>
      </c>
      <c r="C47" s="81" t="str">
        <f>名簿!D35&amp;""</f>
        <v/>
      </c>
    </row>
    <row r="48" spans="1:3" x14ac:dyDescent="0.4">
      <c r="A48" s="81" t="str">
        <f>名簿!B36&amp;""</f>
        <v/>
      </c>
      <c r="B48" s="81" t="str">
        <f>名簿!C36&amp;""</f>
        <v/>
      </c>
      <c r="C48" s="81" t="str">
        <f>名簿!D36&amp;""</f>
        <v/>
      </c>
    </row>
    <row r="49" spans="1:3" x14ac:dyDescent="0.4">
      <c r="A49" s="81" t="str">
        <f>名簿!B37&amp;""</f>
        <v/>
      </c>
      <c r="B49" s="81" t="str">
        <f>名簿!C37&amp;""</f>
        <v/>
      </c>
      <c r="C49" s="81" t="str">
        <f>名簿!D37&amp;""</f>
        <v/>
      </c>
    </row>
    <row r="50" spans="1:3" x14ac:dyDescent="0.4">
      <c r="A50" s="81" t="str">
        <f>名簿!B38&amp;""</f>
        <v/>
      </c>
      <c r="B50" s="81" t="str">
        <f>名簿!C38&amp;""</f>
        <v/>
      </c>
      <c r="C50" s="81" t="str">
        <f>名簿!D38&amp;""</f>
        <v/>
      </c>
    </row>
    <row r="51" spans="1:3" x14ac:dyDescent="0.4">
      <c r="A51" s="81" t="str">
        <f>名簿!B39&amp;""</f>
        <v/>
      </c>
      <c r="B51" s="81" t="str">
        <f>名簿!C39&amp;""</f>
        <v/>
      </c>
      <c r="C51" s="81" t="str">
        <f>名簿!D39&amp;""</f>
        <v/>
      </c>
    </row>
    <row r="52" spans="1:3" x14ac:dyDescent="0.4">
      <c r="A52" s="81" t="str">
        <f>名簿!B40&amp;""</f>
        <v/>
      </c>
      <c r="B52" s="81" t="str">
        <f>名簿!C40&amp;""</f>
        <v/>
      </c>
      <c r="C52" s="81" t="str">
        <f>名簿!D40&amp;""</f>
        <v/>
      </c>
    </row>
    <row r="53" spans="1:3" x14ac:dyDescent="0.4">
      <c r="A53" s="81" t="str">
        <f>名簿!B41&amp;""</f>
        <v/>
      </c>
      <c r="B53" s="81" t="str">
        <f>名簿!C41&amp;""</f>
        <v/>
      </c>
      <c r="C53" s="81" t="str">
        <f>名簿!D41&amp;""</f>
        <v/>
      </c>
    </row>
    <row r="54" spans="1:3" x14ac:dyDescent="0.4">
      <c r="A54" s="81" t="str">
        <f>名簿!B42&amp;""</f>
        <v/>
      </c>
      <c r="B54" s="81" t="str">
        <f>名簿!C42&amp;""</f>
        <v/>
      </c>
      <c r="C54" s="81" t="str">
        <f>名簿!D42&amp;""</f>
        <v/>
      </c>
    </row>
    <row r="55" spans="1:3" x14ac:dyDescent="0.4">
      <c r="A55" s="81" t="str">
        <f>名簿!B43&amp;""</f>
        <v/>
      </c>
      <c r="B55" s="81" t="str">
        <f>名簿!C43&amp;""</f>
        <v/>
      </c>
      <c r="C55" s="81" t="str">
        <f>名簿!D43&amp;""</f>
        <v/>
      </c>
    </row>
    <row r="56" spans="1:3" x14ac:dyDescent="0.4">
      <c r="A56" s="81" t="str">
        <f>名簿!B44&amp;""</f>
        <v/>
      </c>
      <c r="B56" s="81" t="str">
        <f>名簿!C44&amp;""</f>
        <v/>
      </c>
      <c r="C56" s="81" t="str">
        <f>名簿!D44&amp;""</f>
        <v/>
      </c>
    </row>
    <row r="57" spans="1:3" x14ac:dyDescent="0.4">
      <c r="A57" s="81" t="str">
        <f>名簿!B45&amp;""</f>
        <v/>
      </c>
      <c r="B57" s="81" t="str">
        <f>名簿!C45&amp;""</f>
        <v/>
      </c>
      <c r="C57" s="81" t="str">
        <f>名簿!D45&amp;""</f>
        <v/>
      </c>
    </row>
    <row r="58" spans="1:3" x14ac:dyDescent="0.4">
      <c r="A58" s="81" t="str">
        <f>名簿!B46&amp;""</f>
        <v/>
      </c>
      <c r="B58" s="81" t="str">
        <f>名簿!C46&amp;""</f>
        <v/>
      </c>
      <c r="C58" s="81" t="str">
        <f>名簿!D46&amp;""</f>
        <v/>
      </c>
    </row>
    <row r="59" spans="1:3" x14ac:dyDescent="0.4">
      <c r="A59" s="81" t="str">
        <f>名簿!B47&amp;""</f>
        <v/>
      </c>
      <c r="B59" s="81" t="str">
        <f>名簿!C47&amp;""</f>
        <v/>
      </c>
      <c r="C59" s="81" t="str">
        <f>名簿!D47&amp;""</f>
        <v/>
      </c>
    </row>
    <row r="60" spans="1:3" x14ac:dyDescent="0.4">
      <c r="A60" s="81" t="str">
        <f>名簿!B48&amp;""</f>
        <v/>
      </c>
      <c r="B60" s="81" t="str">
        <f>名簿!C48&amp;""</f>
        <v/>
      </c>
      <c r="C60" s="81" t="str">
        <f>名簿!D48&amp;""</f>
        <v/>
      </c>
    </row>
    <row r="61" spans="1:3" x14ac:dyDescent="0.4">
      <c r="A61" s="81" t="str">
        <f>名簿!B49&amp;""</f>
        <v/>
      </c>
      <c r="B61" s="81" t="str">
        <f>名簿!C49&amp;""</f>
        <v/>
      </c>
      <c r="C61" s="81" t="str">
        <f>名簿!D49&amp;""</f>
        <v/>
      </c>
    </row>
    <row r="62" spans="1:3" x14ac:dyDescent="0.4">
      <c r="A62" s="81" t="str">
        <f>名簿!B50&amp;""</f>
        <v/>
      </c>
      <c r="B62" s="81" t="str">
        <f>名簿!C50&amp;""</f>
        <v/>
      </c>
      <c r="C62" s="81" t="str">
        <f>名簿!D50&amp;""</f>
        <v/>
      </c>
    </row>
  </sheetData>
  <sheetProtection algorithmName="SHA-512" hashValue="uSBjAEEBm6cUUraC2J/IMhxtKuTP53Km/G/cLg2UXtlPXxMUKwojA2kQ4fI6um+JDOjGiaJUBII7P7ALMqgiPQ==" saltValue="Z7P0KdtgJjCjVRRbDaO1xw==" spinCount="100000" sheet="1" objects="1"/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31" r:id="rId4" name="Ope_result">
          <controlPr defaultSize="0" autoLine="0" r:id="rId5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1</xdr:row>
                <xdr:rowOff>200025</xdr:rowOff>
              </to>
            </anchor>
          </controlPr>
        </control>
      </mc:Choice>
      <mc:Fallback>
        <control shapeId="5131" r:id="rId4" name="Ope_result"/>
      </mc:Fallback>
    </mc:AlternateContent>
    <mc:AlternateContent xmlns:mc="http://schemas.openxmlformats.org/markup-compatibility/2006">
      <mc:Choice Requires="x14">
        <control shapeId="5128" r:id="rId6" name="Delete_Sh_Subject">
          <controlPr defaultSize="0" autoLine="0" r:id="rId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1</xdr:row>
                <xdr:rowOff>200025</xdr:rowOff>
              </to>
            </anchor>
          </controlPr>
        </control>
      </mc:Choice>
      <mc:Fallback>
        <control shapeId="5128" r:id="rId6" name="Delete_Sh_Subject"/>
      </mc:Fallback>
    </mc:AlternateContent>
    <mc:AlternateContent xmlns:mc="http://schemas.openxmlformats.org/markup-compatibility/2006">
      <mc:Choice Requires="x14">
        <control shapeId="5127" r:id="rId8" name="Update">
          <controlPr defaultSize="0" autoLine="0" r:id="rId9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5127" r:id="rId8" name="Update"/>
      </mc:Fallback>
    </mc:AlternateContent>
    <mc:AlternateContent xmlns:mc="http://schemas.openxmlformats.org/markup-compatibility/2006">
      <mc:Choice Requires="x14">
        <control shapeId="5125" r:id="rId10" name="Perspective5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0" name="Perspective5"/>
      </mc:Fallback>
    </mc:AlternateContent>
    <mc:AlternateContent xmlns:mc="http://schemas.openxmlformats.org/markup-compatibility/2006">
      <mc:Choice Requires="x14">
        <control shapeId="5124" r:id="rId12" name="Perspective4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2" name="Perspective4"/>
      </mc:Fallback>
    </mc:AlternateContent>
    <mc:AlternateContent xmlns:mc="http://schemas.openxmlformats.org/markup-compatibility/2006">
      <mc:Choice Requires="x14">
        <control shapeId="5123" r:id="rId14" name="Perspective3">
          <controlPr defaultSize="0" autoLine="0" r:id="rId15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14" name="Perspective3"/>
      </mc:Fallback>
    </mc:AlternateContent>
    <mc:AlternateContent xmlns:mc="http://schemas.openxmlformats.org/markup-compatibility/2006">
      <mc:Choice Requires="x14">
        <control shapeId="5122" r:id="rId16" name="Perspective2">
          <controlPr defaultSize="0" autoLine="0" r:id="rId1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16" name="Perspective2"/>
      </mc:Fallback>
    </mc:AlternateContent>
    <mc:AlternateContent xmlns:mc="http://schemas.openxmlformats.org/markup-compatibility/2006">
      <mc:Choice Requires="x14">
        <control shapeId="5121" r:id="rId18" name="Perspective1">
          <controlPr defaultSize="0" autoLine="0" r:id="rId19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2</xdr:col>
                <xdr:colOff>619125</xdr:colOff>
                <xdr:row>2</xdr:row>
                <xdr:rowOff>285750</xdr:rowOff>
              </to>
            </anchor>
          </controlPr>
        </control>
      </mc:Choice>
      <mc:Fallback>
        <control shapeId="5121" r:id="rId18" name="Perspective1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6</xdr:row>
                <xdr:rowOff>28575</xdr:rowOff>
              </from>
              <to>
                <xdr:col>1</xdr:col>
                <xdr:colOff>0</xdr:colOff>
                <xdr:row>6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6" r:id="rId23" name="Button 16">
          <controlPr defaultSize="0" print="0" autoFill="0" autoPict="0" macro="[0]!sh_subject.Btn_stats_hide_reveal">
            <anchor moveWithCells="1" siz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</sheetPr>
  <dimension ref="A8:AM50"/>
  <sheetViews>
    <sheetView zoomScaleNormal="100" workbookViewId="0">
      <selection activeCell="G21" sqref="G21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101</v>
      </c>
      <c r="L8" t="s">
        <v>101</v>
      </c>
      <c r="N8" t="s">
        <v>101</v>
      </c>
      <c r="P8" t="s">
        <v>103</v>
      </c>
      <c r="R8" t="s">
        <v>103</v>
      </c>
      <c r="T8" t="s">
        <v>103</v>
      </c>
      <c r="V8" t="s">
        <v>107</v>
      </c>
      <c r="X8" t="s">
        <v>107</v>
      </c>
      <c r="Z8" t="s">
        <v>107</v>
      </c>
      <c r="AB8" t="s">
        <v>108</v>
      </c>
      <c r="AD8" t="s">
        <v>108</v>
      </c>
      <c r="AF8" t="s">
        <v>108</v>
      </c>
      <c r="AH8" t="s">
        <v>109</v>
      </c>
      <c r="AJ8" t="s">
        <v>109</v>
      </c>
      <c r="AL8" t="s">
        <v>109</v>
      </c>
    </row>
    <row r="9" spans="1:39" s="1" customFormat="1" x14ac:dyDescent="0.4">
      <c r="D9" s="1" t="s">
        <v>30</v>
      </c>
      <c r="F9" s="1" t="s">
        <v>26</v>
      </c>
      <c r="H9" s="1" t="s">
        <v>102</v>
      </c>
      <c r="J9" s="1" t="s">
        <v>30</v>
      </c>
      <c r="L9" s="1" t="s">
        <v>26</v>
      </c>
      <c r="N9" s="1" t="s">
        <v>102</v>
      </c>
      <c r="P9" s="1" t="s">
        <v>30</v>
      </c>
      <c r="R9" s="1" t="s">
        <v>26</v>
      </c>
      <c r="T9" s="1" t="s">
        <v>102</v>
      </c>
      <c r="V9" s="1" t="s">
        <v>30</v>
      </c>
      <c r="X9" s="1" t="s">
        <v>26</v>
      </c>
      <c r="Z9" s="1" t="s">
        <v>102</v>
      </c>
      <c r="AB9" s="1" t="s">
        <v>30</v>
      </c>
      <c r="AD9" s="1" t="s">
        <v>26</v>
      </c>
      <c r="AF9" s="1" t="s">
        <v>102</v>
      </c>
      <c r="AH9" s="1" t="s">
        <v>30</v>
      </c>
      <c r="AJ9" s="1" t="s">
        <v>26</v>
      </c>
      <c r="AL9" s="1" t="s">
        <v>102</v>
      </c>
    </row>
    <row r="10" spans="1:39" s="1" customFormat="1" x14ac:dyDescent="0.4">
      <c r="D10" s="1" t="s">
        <v>105</v>
      </c>
      <c r="E10" s="1" t="s">
        <v>106</v>
      </c>
      <c r="F10" s="1" t="s">
        <v>105</v>
      </c>
      <c r="G10" s="1" t="s">
        <v>106</v>
      </c>
      <c r="H10" s="1" t="s">
        <v>105</v>
      </c>
      <c r="I10" s="1" t="s">
        <v>106</v>
      </c>
      <c r="J10" s="1" t="s">
        <v>105</v>
      </c>
      <c r="K10" s="1" t="s">
        <v>106</v>
      </c>
      <c r="L10" s="1" t="s">
        <v>105</v>
      </c>
      <c r="M10" s="1" t="s">
        <v>106</v>
      </c>
      <c r="N10" s="1" t="s">
        <v>105</v>
      </c>
      <c r="O10" s="1" t="s">
        <v>106</v>
      </c>
      <c r="P10" s="1" t="s">
        <v>105</v>
      </c>
      <c r="Q10" s="1" t="s">
        <v>106</v>
      </c>
      <c r="R10" s="1" t="s">
        <v>105</v>
      </c>
      <c r="S10" s="1" t="s">
        <v>106</v>
      </c>
      <c r="T10" s="1" t="s">
        <v>105</v>
      </c>
      <c r="U10" s="1" t="s">
        <v>106</v>
      </c>
      <c r="V10" s="1" t="s">
        <v>105</v>
      </c>
      <c r="W10" s="1" t="s">
        <v>106</v>
      </c>
      <c r="X10" s="1" t="s">
        <v>105</v>
      </c>
      <c r="Y10" s="1" t="s">
        <v>106</v>
      </c>
      <c r="Z10" s="1" t="s">
        <v>105</v>
      </c>
      <c r="AA10" s="1" t="s">
        <v>106</v>
      </c>
      <c r="AB10" s="1" t="s">
        <v>105</v>
      </c>
      <c r="AC10" s="1" t="s">
        <v>106</v>
      </c>
      <c r="AD10" s="1" t="s">
        <v>105</v>
      </c>
      <c r="AE10" s="1" t="s">
        <v>106</v>
      </c>
      <c r="AF10" s="1" t="s">
        <v>105</v>
      </c>
      <c r="AG10" s="1" t="s">
        <v>106</v>
      </c>
      <c r="AH10" s="1" t="s">
        <v>105</v>
      </c>
      <c r="AI10" s="1" t="s">
        <v>106</v>
      </c>
      <c r="AJ10" s="1" t="s">
        <v>105</v>
      </c>
      <c r="AK10" s="1" t="s">
        <v>106</v>
      </c>
      <c r="AL10" s="1" t="s">
        <v>105</v>
      </c>
      <c r="AM10" s="1" t="s">
        <v>106</v>
      </c>
    </row>
    <row r="11" spans="1:39" x14ac:dyDescent="0.4">
      <c r="A11" t="str">
        <f>名簿!B11&amp;""</f>
        <v/>
      </c>
      <c r="B11" t="str">
        <f>名簿!C11&amp;""</f>
        <v/>
      </c>
      <c r="C11" t="str">
        <f>名簿!D11&amp;""</f>
        <v/>
      </c>
    </row>
    <row r="12" spans="1:39" x14ac:dyDescent="0.4">
      <c r="A12" t="str">
        <f>名簿!B12&amp;""</f>
        <v/>
      </c>
      <c r="B12" t="str">
        <f>名簿!C12&amp;""</f>
        <v/>
      </c>
      <c r="C12" t="str">
        <f>名簿!D12&amp;""</f>
        <v/>
      </c>
    </row>
    <row r="13" spans="1:39" x14ac:dyDescent="0.4">
      <c r="A13" t="str">
        <f>名簿!B13&amp;""</f>
        <v/>
      </c>
      <c r="B13" t="str">
        <f>名簿!C13&amp;""</f>
        <v/>
      </c>
      <c r="C13" t="str">
        <f>名簿!D13&amp;""</f>
        <v/>
      </c>
    </row>
    <row r="14" spans="1:39" x14ac:dyDescent="0.4">
      <c r="A14" t="str">
        <f>名簿!B14&amp;""</f>
        <v/>
      </c>
      <c r="B14" t="str">
        <f>名簿!C14&amp;""</f>
        <v/>
      </c>
      <c r="C14" t="str">
        <f>名簿!D14&amp;""</f>
        <v/>
      </c>
    </row>
    <row r="15" spans="1:39" x14ac:dyDescent="0.4">
      <c r="A15" t="str">
        <f>名簿!B15&amp;""</f>
        <v/>
      </c>
      <c r="B15" t="str">
        <f>名簿!C15&amp;""</f>
        <v/>
      </c>
      <c r="C15" t="str">
        <f>名簿!D15&amp;""</f>
        <v/>
      </c>
    </row>
    <row r="16" spans="1:39" x14ac:dyDescent="0.4">
      <c r="A16" t="str">
        <f>名簿!B16&amp;""</f>
        <v/>
      </c>
      <c r="B16" t="str">
        <f>名簿!C16&amp;""</f>
        <v/>
      </c>
      <c r="C16" t="str">
        <f>名簿!D16&amp;""</f>
        <v/>
      </c>
    </row>
    <row r="17" spans="1:3" x14ac:dyDescent="0.4">
      <c r="A17" t="str">
        <f>名簿!B17&amp;""</f>
        <v/>
      </c>
      <c r="B17" t="str">
        <f>名簿!C17&amp;""</f>
        <v/>
      </c>
      <c r="C17" t="str">
        <f>名簿!D17&amp;""</f>
        <v/>
      </c>
    </row>
    <row r="18" spans="1:3" x14ac:dyDescent="0.4">
      <c r="A18" t="str">
        <f>名簿!B18&amp;""</f>
        <v/>
      </c>
      <c r="B18" t="str">
        <f>名簿!C18&amp;""</f>
        <v/>
      </c>
      <c r="C18" t="str">
        <f>名簿!D18&amp;""</f>
        <v/>
      </c>
    </row>
    <row r="19" spans="1:3" x14ac:dyDescent="0.4">
      <c r="A19" t="str">
        <f>名簿!B19&amp;""</f>
        <v/>
      </c>
      <c r="B19" t="str">
        <f>名簿!C19&amp;""</f>
        <v/>
      </c>
      <c r="C19" t="str">
        <f>名簿!D19&amp;""</f>
        <v/>
      </c>
    </row>
    <row r="20" spans="1:3" x14ac:dyDescent="0.4">
      <c r="A20" t="str">
        <f>名簿!B20&amp;""</f>
        <v/>
      </c>
      <c r="B20" t="str">
        <f>名簿!C20&amp;""</f>
        <v/>
      </c>
      <c r="C20" t="str">
        <f>名簿!D20&amp;""</f>
        <v/>
      </c>
    </row>
    <row r="21" spans="1:3" x14ac:dyDescent="0.4">
      <c r="A21" t="str">
        <f>名簿!B21&amp;""</f>
        <v/>
      </c>
      <c r="B21" t="str">
        <f>名簿!C21&amp;""</f>
        <v/>
      </c>
      <c r="C21" t="str">
        <f>名簿!D21&amp;""</f>
        <v/>
      </c>
    </row>
    <row r="22" spans="1:3" x14ac:dyDescent="0.4">
      <c r="A22" t="str">
        <f>名簿!B22&amp;""</f>
        <v/>
      </c>
      <c r="B22" t="str">
        <f>名簿!C22&amp;""</f>
        <v/>
      </c>
      <c r="C22" t="str">
        <f>名簿!D22&amp;""</f>
        <v/>
      </c>
    </row>
    <row r="23" spans="1:3" x14ac:dyDescent="0.4">
      <c r="A23" t="str">
        <f>名簿!B23&amp;""</f>
        <v/>
      </c>
      <c r="B23" t="str">
        <f>名簿!C23&amp;""</f>
        <v/>
      </c>
      <c r="C23" t="str">
        <f>名簿!D23&amp;""</f>
        <v/>
      </c>
    </row>
    <row r="24" spans="1:3" x14ac:dyDescent="0.4">
      <c r="A24" t="str">
        <f>名簿!B24&amp;""</f>
        <v/>
      </c>
      <c r="B24" t="str">
        <f>名簿!C24&amp;""</f>
        <v/>
      </c>
      <c r="C24" t="str">
        <f>名簿!D24&amp;""</f>
        <v/>
      </c>
    </row>
    <row r="25" spans="1:3" x14ac:dyDescent="0.4">
      <c r="A25" t="str">
        <f>名簿!B25&amp;""</f>
        <v/>
      </c>
      <c r="B25" t="str">
        <f>名簿!C25&amp;""</f>
        <v/>
      </c>
      <c r="C25" t="str">
        <f>名簿!D25&amp;""</f>
        <v/>
      </c>
    </row>
    <row r="26" spans="1:3" x14ac:dyDescent="0.4">
      <c r="A26" t="str">
        <f>名簿!B26&amp;""</f>
        <v/>
      </c>
      <c r="B26" t="str">
        <f>名簿!C26&amp;""</f>
        <v/>
      </c>
      <c r="C26" t="str">
        <f>名簿!D26&amp;""</f>
        <v/>
      </c>
    </row>
    <row r="27" spans="1:3" x14ac:dyDescent="0.4">
      <c r="A27" t="str">
        <f>名簿!B27&amp;""</f>
        <v/>
      </c>
      <c r="B27" t="str">
        <f>名簿!C27&amp;""</f>
        <v/>
      </c>
      <c r="C27" t="str">
        <f>名簿!D27&amp;""</f>
        <v/>
      </c>
    </row>
    <row r="28" spans="1:3" x14ac:dyDescent="0.4">
      <c r="A28" t="str">
        <f>名簿!B28&amp;""</f>
        <v/>
      </c>
      <c r="B28" t="str">
        <f>名簿!C28&amp;""</f>
        <v/>
      </c>
      <c r="C28" t="str">
        <f>名簿!D28&amp;""</f>
        <v/>
      </c>
    </row>
    <row r="29" spans="1:3" x14ac:dyDescent="0.4">
      <c r="A29" t="str">
        <f>名簿!B29&amp;""</f>
        <v/>
      </c>
      <c r="B29" t="str">
        <f>名簿!C29&amp;""</f>
        <v/>
      </c>
      <c r="C29" t="str">
        <f>名簿!D29&amp;""</f>
        <v/>
      </c>
    </row>
    <row r="30" spans="1:3" x14ac:dyDescent="0.4">
      <c r="A30" t="str">
        <f>名簿!B30&amp;""</f>
        <v/>
      </c>
      <c r="B30" t="str">
        <f>名簿!C30&amp;""</f>
        <v/>
      </c>
      <c r="C30" t="str">
        <f>名簿!D30&amp;""</f>
        <v/>
      </c>
    </row>
    <row r="31" spans="1:3" x14ac:dyDescent="0.4">
      <c r="A31" t="str">
        <f>名簿!B31&amp;""</f>
        <v/>
      </c>
      <c r="B31" t="str">
        <f>名簿!C31&amp;""</f>
        <v/>
      </c>
      <c r="C31" t="str">
        <f>名簿!D31&amp;""</f>
        <v/>
      </c>
    </row>
    <row r="32" spans="1:3" x14ac:dyDescent="0.4">
      <c r="A32" t="str">
        <f>名簿!B32&amp;""</f>
        <v/>
      </c>
      <c r="B32" t="str">
        <f>名簿!C32&amp;""</f>
        <v/>
      </c>
      <c r="C32" t="str">
        <f>名簿!D32&amp;""</f>
        <v/>
      </c>
    </row>
    <row r="33" spans="1:3" x14ac:dyDescent="0.4">
      <c r="A33" t="str">
        <f>名簿!B33&amp;""</f>
        <v/>
      </c>
      <c r="B33" t="str">
        <f>名簿!C33&amp;""</f>
        <v/>
      </c>
      <c r="C33" t="str">
        <f>名簿!D33&amp;""</f>
        <v/>
      </c>
    </row>
    <row r="34" spans="1:3" x14ac:dyDescent="0.4">
      <c r="A34" t="str">
        <f>名簿!B34&amp;""</f>
        <v/>
      </c>
      <c r="B34" t="str">
        <f>名簿!C34&amp;""</f>
        <v/>
      </c>
      <c r="C34" t="str">
        <f>名簿!D34&amp;""</f>
        <v/>
      </c>
    </row>
    <row r="35" spans="1:3" x14ac:dyDescent="0.4">
      <c r="A35" t="str">
        <f>名簿!B35&amp;""</f>
        <v/>
      </c>
      <c r="B35" t="str">
        <f>名簿!C35&amp;""</f>
        <v/>
      </c>
      <c r="C35" t="str">
        <f>名簿!D35&amp;""</f>
        <v/>
      </c>
    </row>
    <row r="36" spans="1:3" x14ac:dyDescent="0.4">
      <c r="A36" t="str">
        <f>名簿!B36&amp;""</f>
        <v/>
      </c>
      <c r="B36" t="str">
        <f>名簿!C36&amp;""</f>
        <v/>
      </c>
      <c r="C36" t="str">
        <f>名簿!D36&amp;""</f>
        <v/>
      </c>
    </row>
    <row r="37" spans="1:3" x14ac:dyDescent="0.4">
      <c r="A37" t="str">
        <f>名簿!B37&amp;""</f>
        <v/>
      </c>
      <c r="B37" t="str">
        <f>名簿!C37&amp;""</f>
        <v/>
      </c>
      <c r="C37" t="str">
        <f>名簿!D37&amp;""</f>
        <v/>
      </c>
    </row>
    <row r="38" spans="1:3" x14ac:dyDescent="0.4">
      <c r="A38" t="str">
        <f>名簿!B38&amp;""</f>
        <v/>
      </c>
      <c r="B38" t="str">
        <f>名簿!C38&amp;""</f>
        <v/>
      </c>
      <c r="C38" t="str">
        <f>名簿!D38&amp;""</f>
        <v/>
      </c>
    </row>
    <row r="39" spans="1:3" x14ac:dyDescent="0.4">
      <c r="A39" t="str">
        <f>名簿!B39&amp;""</f>
        <v/>
      </c>
      <c r="B39" t="str">
        <f>名簿!C39&amp;""</f>
        <v/>
      </c>
      <c r="C39" t="str">
        <f>名簿!D39&amp;""</f>
        <v/>
      </c>
    </row>
    <row r="40" spans="1:3" x14ac:dyDescent="0.4">
      <c r="A40" t="str">
        <f>名簿!B40&amp;""</f>
        <v/>
      </c>
      <c r="B40" t="str">
        <f>名簿!C40&amp;""</f>
        <v/>
      </c>
      <c r="C40" t="str">
        <f>名簿!D40&amp;""</f>
        <v/>
      </c>
    </row>
    <row r="41" spans="1:3" x14ac:dyDescent="0.4">
      <c r="A41" t="str">
        <f>名簿!B41&amp;""</f>
        <v/>
      </c>
      <c r="B41" t="str">
        <f>名簿!C41&amp;""</f>
        <v/>
      </c>
      <c r="C41" t="str">
        <f>名簿!D41&amp;""</f>
        <v/>
      </c>
    </row>
    <row r="42" spans="1:3" x14ac:dyDescent="0.4">
      <c r="A42" t="str">
        <f>名簿!B42&amp;""</f>
        <v/>
      </c>
      <c r="B42" t="str">
        <f>名簿!C42&amp;""</f>
        <v/>
      </c>
      <c r="C42" t="str">
        <f>名簿!D42&amp;""</f>
        <v/>
      </c>
    </row>
    <row r="43" spans="1:3" x14ac:dyDescent="0.4">
      <c r="A43" t="str">
        <f>名簿!B43&amp;""</f>
        <v/>
      </c>
      <c r="B43" t="str">
        <f>名簿!C43&amp;""</f>
        <v/>
      </c>
      <c r="C43" t="str">
        <f>名簿!D43&amp;""</f>
        <v/>
      </c>
    </row>
    <row r="44" spans="1:3" x14ac:dyDescent="0.4">
      <c r="A44" t="str">
        <f>名簿!B44&amp;""</f>
        <v/>
      </c>
      <c r="B44" t="str">
        <f>名簿!C44&amp;""</f>
        <v/>
      </c>
      <c r="C44" t="str">
        <f>名簿!D44&amp;""</f>
        <v/>
      </c>
    </row>
    <row r="45" spans="1:3" x14ac:dyDescent="0.4">
      <c r="A45" t="str">
        <f>名簿!B45&amp;""</f>
        <v/>
      </c>
      <c r="B45" t="str">
        <f>名簿!C45&amp;""</f>
        <v/>
      </c>
      <c r="C45" t="str">
        <f>名簿!D45&amp;""</f>
        <v/>
      </c>
    </row>
    <row r="46" spans="1:3" x14ac:dyDescent="0.4">
      <c r="A46" t="str">
        <f>名簿!B46&amp;""</f>
        <v/>
      </c>
      <c r="B46" t="str">
        <f>名簿!C46&amp;""</f>
        <v/>
      </c>
      <c r="C46" t="str">
        <f>名簿!D46&amp;""</f>
        <v/>
      </c>
    </row>
    <row r="47" spans="1:3" x14ac:dyDescent="0.4">
      <c r="A47" t="str">
        <f>名簿!B47&amp;""</f>
        <v/>
      </c>
      <c r="B47" t="str">
        <f>名簿!C47&amp;""</f>
        <v/>
      </c>
      <c r="C47" t="str">
        <f>名簿!D47&amp;""</f>
        <v/>
      </c>
    </row>
    <row r="48" spans="1:3" x14ac:dyDescent="0.4">
      <c r="A48" t="str">
        <f>名簿!B48&amp;""</f>
        <v/>
      </c>
      <c r="B48" t="str">
        <f>名簿!C48&amp;""</f>
        <v/>
      </c>
      <c r="C48" t="str">
        <f>名簿!D48&amp;""</f>
        <v/>
      </c>
    </row>
    <row r="49" spans="1:3" x14ac:dyDescent="0.4">
      <c r="A49" t="str">
        <f>名簿!B49&amp;""</f>
        <v/>
      </c>
      <c r="B49" t="str">
        <f>名簿!C49&amp;""</f>
        <v/>
      </c>
      <c r="C49" t="str">
        <f>名簿!D49&amp;""</f>
        <v/>
      </c>
    </row>
    <row r="50" spans="1:3" x14ac:dyDescent="0.4">
      <c r="A50" t="str">
        <f>名簿!B50&amp;""</f>
        <v/>
      </c>
      <c r="B50" t="str">
        <f>名簿!C50&amp;""</f>
        <v/>
      </c>
      <c r="C50" t="str">
        <f>名簿!D50&amp;""</f>
        <v/>
      </c>
    </row>
  </sheetData>
  <sheetProtection algorithmName="SHA-512" hashValue="tgR6x+yk5n6Zqyye5hDNDy66peyIkfZDnb9aOfnDhM3J961kyDhRh6BLXZAJgqtH9xbFgco0v0N8M4JKFA45FQ==" saltValue="S5om/6TscPBvh3a9Pbxspw==" spinCount="100000" sheet="1" objects="1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H15" sqref="H15:H44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7" t="s">
        <v>32</v>
      </c>
      <c r="C1" s="170" t="s">
        <v>44</v>
      </c>
      <c r="D1" s="171"/>
      <c r="E1" s="171"/>
      <c r="F1" s="172"/>
      <c r="H1" s="170" t="s">
        <v>45</v>
      </c>
      <c r="I1" s="171"/>
      <c r="J1" s="171"/>
      <c r="K1" s="172"/>
      <c r="M1" s="61" t="s">
        <v>46</v>
      </c>
      <c r="N1" s="62" t="str">
        <f>IF(F14=K14,"有効","無効")</f>
        <v>有効</v>
      </c>
      <c r="O1" s="62"/>
      <c r="P1" s="62"/>
      <c r="Q1" s="63"/>
    </row>
    <row r="2" spans="1:21" x14ac:dyDescent="0.4">
      <c r="C2" s="6" t="s">
        <v>12</v>
      </c>
      <c r="D2" s="6">
        <f>F4</f>
        <v>0</v>
      </c>
      <c r="E2" s="5" t="s">
        <v>34</v>
      </c>
      <c r="F2" s="6">
        <f>MIN(F15:F54)</f>
        <v>0</v>
      </c>
      <c r="H2" s="6" t="s">
        <v>12</v>
      </c>
      <c r="I2" s="6">
        <f>K4</f>
        <v>0</v>
      </c>
      <c r="J2" s="5" t="s">
        <v>34</v>
      </c>
      <c r="K2" s="6">
        <f>MIN(K15:K54)</f>
        <v>0</v>
      </c>
      <c r="M2" s="56" t="s">
        <v>47</v>
      </c>
      <c r="N2">
        <f>_xlfn.COVARIANCE.P(F15:F54,K15:K54)</f>
        <v>0</v>
      </c>
      <c r="P2" s="64" t="s">
        <v>50</v>
      </c>
      <c r="Q2" s="55" t="e">
        <f>IF(N6&lt;0.05,"有意差あり","有意差なし")</f>
        <v>#DIV/0!</v>
      </c>
    </row>
    <row r="3" spans="1:21" ht="19.5" thickBot="1" x14ac:dyDescent="0.45">
      <c r="C3" s="2" t="s">
        <v>11</v>
      </c>
      <c r="D3" s="2">
        <f>AVERAGE(F15:F54)</f>
        <v>0</v>
      </c>
      <c r="E3" s="8" t="s">
        <v>36</v>
      </c>
      <c r="F3" s="2">
        <f>_xlfn.QUARTILE.EXC($F$15:$F$54,1)</f>
        <v>0</v>
      </c>
      <c r="H3" s="2" t="s">
        <v>11</v>
      </c>
      <c r="I3" s="2">
        <f>AVERAGE(K15:K54)</f>
        <v>0</v>
      </c>
      <c r="J3" s="8" t="s">
        <v>36</v>
      </c>
      <c r="K3" s="2">
        <f>_xlfn.QUARTILE.EXC($K$15:$K$54,1)</f>
        <v>0</v>
      </c>
      <c r="M3" s="56" t="s">
        <v>48</v>
      </c>
      <c r="N3" t="e">
        <f>N2/(D4*I4)</f>
        <v>#DIV/0!</v>
      </c>
      <c r="P3" s="58" t="s">
        <v>51</v>
      </c>
      <c r="Q3" s="60" t="e">
        <f>IF(N6&lt;0.01,"有意差あり","有意差なし")</f>
        <v>#DIV/0!</v>
      </c>
    </row>
    <row r="4" spans="1:21" x14ac:dyDescent="0.4">
      <c r="C4" s="2" t="s">
        <v>13</v>
      </c>
      <c r="D4" s="2">
        <f>_xlfn.STDEV.P(F15:F54)</f>
        <v>0</v>
      </c>
      <c r="E4" s="8" t="s">
        <v>37</v>
      </c>
      <c r="F4" s="2">
        <f>_xlfn.QUARTILE.EXC($F$15:$F$54,2)</f>
        <v>0</v>
      </c>
      <c r="H4" s="2" t="s">
        <v>13</v>
      </c>
      <c r="I4" s="2">
        <f>_xlfn.STDEV.P(K15:K54)</f>
        <v>0</v>
      </c>
      <c r="J4" s="8" t="s">
        <v>37</v>
      </c>
      <c r="K4" s="2">
        <f>_xlfn.QUARTILE.EXC($K$15:$K$54,2)</f>
        <v>0</v>
      </c>
      <c r="M4" s="56" t="s">
        <v>53</v>
      </c>
      <c r="N4">
        <f>COUNTA(B15:B54)-1</f>
        <v>39</v>
      </c>
      <c r="Q4" s="57"/>
    </row>
    <row r="5" spans="1:21" x14ac:dyDescent="0.4">
      <c r="C5" s="2" t="s">
        <v>23</v>
      </c>
      <c r="D5" s="2" t="e">
        <f>D4/D3</f>
        <v>#DIV/0!</v>
      </c>
      <c r="E5" s="8" t="s">
        <v>38</v>
      </c>
      <c r="F5" s="2">
        <f>_xlfn.QUARTILE.EXC($F$15:$F$54,3)</f>
        <v>0</v>
      </c>
      <c r="H5" s="2" t="s">
        <v>23</v>
      </c>
      <c r="I5" s="2" t="e">
        <f>I4/I3</f>
        <v>#DIV/0!</v>
      </c>
      <c r="J5" s="8" t="s">
        <v>38</v>
      </c>
      <c r="K5" s="2">
        <f>_xlfn.QUARTILE.EXC($K$15:$K$54,3)</f>
        <v>0</v>
      </c>
      <c r="M5" s="56" t="s">
        <v>54</v>
      </c>
      <c r="N5" t="e">
        <f>ABS(M56/SQRT(M55/COUNTA(B15:B54)))</f>
        <v>#DIV/0!</v>
      </c>
      <c r="Q5" s="57"/>
    </row>
    <row r="6" spans="1:21" ht="19.5" thickBot="1" x14ac:dyDescent="0.45">
      <c r="D6" s="10"/>
      <c r="E6" s="8" t="s">
        <v>33</v>
      </c>
      <c r="F6" s="2">
        <f>MAX($F$15:$F$54)</f>
        <v>0</v>
      </c>
      <c r="I6" s="9"/>
      <c r="J6" s="2" t="s">
        <v>33</v>
      </c>
      <c r="K6" s="2">
        <f>MAX($K$15:$K$54)</f>
        <v>0</v>
      </c>
      <c r="M6" s="58" t="s">
        <v>49</v>
      </c>
      <c r="N6" s="59" t="e">
        <f>_xlfn.T.TEST(F15:F54,K15:K54,2,1)</f>
        <v>#DIV/0!</v>
      </c>
      <c r="O6" s="59" t="e">
        <f>_xlfn.T.DIST.2T(N5,COUNTA(B15:B54)-1)</f>
        <v>#DIV/0!</v>
      </c>
      <c r="P6" s="59" t="s">
        <v>57</v>
      </c>
      <c r="Q6" s="60"/>
    </row>
    <row r="7" spans="1:21" ht="2.25" customHeight="1" x14ac:dyDescent="0.4"/>
    <row r="8" spans="1:21" ht="21" customHeight="1" x14ac:dyDescent="0.4">
      <c r="C8" s="168" t="s">
        <v>39</v>
      </c>
      <c r="D8" s="168"/>
      <c r="E8" s="168"/>
      <c r="F8" s="22" t="s">
        <v>40</v>
      </c>
      <c r="G8" s="35" t="s">
        <v>42</v>
      </c>
      <c r="H8" s="169" t="s">
        <v>43</v>
      </c>
      <c r="I8" s="169"/>
      <c r="J8" s="169"/>
      <c r="K8" s="39" t="s">
        <v>41</v>
      </c>
      <c r="L8" s="40" t="s">
        <v>42</v>
      </c>
    </row>
    <row r="9" spans="1:21" ht="21" customHeight="1" x14ac:dyDescent="0.4">
      <c r="B9" s="2" t="s">
        <v>35</v>
      </c>
      <c r="C9" s="11"/>
      <c r="D9" s="11"/>
      <c r="E9" s="19"/>
      <c r="F9" s="27"/>
      <c r="G9" s="22"/>
      <c r="H9" s="32"/>
      <c r="I9" s="13"/>
      <c r="J9" s="36"/>
      <c r="K9" s="39"/>
      <c r="L9" s="39"/>
    </row>
    <row r="10" spans="1:21" ht="21" customHeight="1" x14ac:dyDescent="0.4">
      <c r="B10" s="2" t="s">
        <v>4</v>
      </c>
      <c r="C10" s="15"/>
      <c r="D10" s="15"/>
      <c r="E10" s="20"/>
      <c r="F10" s="28"/>
      <c r="G10" s="24"/>
      <c r="H10" s="33"/>
      <c r="I10" s="16"/>
      <c r="J10" s="37"/>
      <c r="K10" s="42"/>
      <c r="L10" s="42"/>
      <c r="M10" s="1"/>
      <c r="N10" s="1"/>
      <c r="O10" s="1"/>
      <c r="P10" s="1"/>
      <c r="Q10" s="1"/>
      <c r="R10" s="1"/>
      <c r="S10" s="1"/>
      <c r="T10" s="1"/>
      <c r="U10" s="1"/>
    </row>
    <row r="11" spans="1:21" ht="21" customHeight="1" x14ac:dyDescent="0.4">
      <c r="B11" s="2" t="s">
        <v>0</v>
      </c>
      <c r="C11" s="11"/>
      <c r="D11" s="11"/>
      <c r="E11" s="19"/>
      <c r="F11" s="29"/>
      <c r="G11" s="25"/>
      <c r="H11" s="32"/>
      <c r="I11" s="13"/>
      <c r="J11" s="36"/>
      <c r="K11" s="43"/>
      <c r="L11" s="43"/>
    </row>
    <row r="12" spans="1:21" ht="21" customHeight="1" x14ac:dyDescent="0.4">
      <c r="B12" s="2" t="s">
        <v>1</v>
      </c>
      <c r="C12" s="17"/>
      <c r="D12" s="17"/>
      <c r="E12" s="21"/>
      <c r="F12" s="30"/>
      <c r="G12" s="26"/>
      <c r="H12" s="34"/>
      <c r="I12" s="18"/>
      <c r="J12" s="38"/>
      <c r="K12" s="44"/>
      <c r="L12" s="44"/>
    </row>
    <row r="13" spans="1:21" ht="21" customHeight="1" x14ac:dyDescent="0.4">
      <c r="B13" s="2" t="s">
        <v>2</v>
      </c>
      <c r="C13" s="11"/>
      <c r="D13" s="11"/>
      <c r="E13" s="19"/>
      <c r="F13" s="31"/>
      <c r="G13" s="23"/>
      <c r="H13" s="32"/>
      <c r="I13" s="13"/>
      <c r="J13" s="36"/>
      <c r="K13" s="41"/>
      <c r="L13" s="41"/>
    </row>
    <row r="14" spans="1:21" ht="19.5" thickBot="1" x14ac:dyDescent="0.45">
      <c r="B14" s="4" t="s">
        <v>3</v>
      </c>
      <c r="C14" s="35"/>
      <c r="D14" s="35"/>
      <c r="E14" s="35"/>
      <c r="F14" s="25">
        <f>E14+D14+C14</f>
        <v>0</v>
      </c>
      <c r="G14" s="22" t="e">
        <f t="shared" ref="G14:G54" si="0">ROUND((F14-$D$3)*10/$D$4+50,0)</f>
        <v>#DIV/0!</v>
      </c>
      <c r="H14" s="40"/>
      <c r="I14" s="40"/>
      <c r="J14" s="40"/>
      <c r="K14" s="43">
        <f>J14+I14+H14</f>
        <v>0</v>
      </c>
      <c r="L14" s="43" t="e">
        <f>ROUND((K14-$I$3)*10/$I$4+50,0)</f>
        <v>#DIV/0!</v>
      </c>
      <c r="M14" s="1" t="s">
        <v>55</v>
      </c>
      <c r="N14" s="1"/>
      <c r="O14" s="1"/>
      <c r="P14" s="1"/>
      <c r="Q14" s="1"/>
      <c r="R14" s="1"/>
      <c r="S14" s="1"/>
    </row>
    <row r="15" spans="1:21" x14ac:dyDescent="0.4">
      <c r="B15" s="45" t="str">
        <f>IF(名簿!C11="","",名簿!C11 &amp; 名簿!D11)</f>
        <v/>
      </c>
      <c r="C15" s="46"/>
      <c r="D15" s="46"/>
      <c r="E15" s="46"/>
      <c r="F15" s="46">
        <f>E15+D15+C15</f>
        <v>0</v>
      </c>
      <c r="G15" s="46" t="e">
        <f t="shared" si="0"/>
        <v>#DIV/0!</v>
      </c>
      <c r="H15" s="47"/>
      <c r="I15" s="47"/>
      <c r="J15" s="47"/>
      <c r="K15" s="47">
        <f>J15+I15+H15</f>
        <v>0</v>
      </c>
      <c r="L15" s="48" t="e">
        <f t="shared" ref="L15:L54" si="1">ROUND((K15-$I$3)*10/$I$4+50,0)</f>
        <v>#DIV/0!</v>
      </c>
      <c r="M15">
        <f>F15-K15</f>
        <v>0</v>
      </c>
    </row>
    <row r="16" spans="1:21" x14ac:dyDescent="0.4">
      <c r="B16" s="49" t="str">
        <f>IF(名簿!C12="","",名簿!C12 &amp; 名簿!D12)</f>
        <v/>
      </c>
      <c r="C16" s="12"/>
      <c r="D16" s="12"/>
      <c r="E16" s="12"/>
      <c r="F16" s="12">
        <f t="shared" ref="F16:F54" si="2">E16+D16+C16</f>
        <v>0</v>
      </c>
      <c r="G16" s="12" t="e">
        <f t="shared" si="0"/>
        <v>#DIV/0!</v>
      </c>
      <c r="H16" s="14"/>
      <c r="I16" s="14"/>
      <c r="J16" s="14"/>
      <c r="K16" s="14">
        <f>J16+I16+H16</f>
        <v>0</v>
      </c>
      <c r="L16" s="50" t="e">
        <f t="shared" si="1"/>
        <v>#DIV/0!</v>
      </c>
      <c r="M16">
        <f t="shared" ref="M16:M54" si="3">F16-K16</f>
        <v>0</v>
      </c>
    </row>
    <row r="17" spans="2:13" x14ac:dyDescent="0.4">
      <c r="B17" s="49" t="str">
        <f>IF(名簿!C13="","",名簿!C13 &amp; 名簿!D13)</f>
        <v/>
      </c>
      <c r="C17" s="12"/>
      <c r="D17" s="12"/>
      <c r="E17" s="12"/>
      <c r="F17" s="12">
        <f t="shared" si="2"/>
        <v>0</v>
      </c>
      <c r="G17" s="12" t="e">
        <f t="shared" si="0"/>
        <v>#DIV/0!</v>
      </c>
      <c r="H17" s="14"/>
      <c r="I17" s="14"/>
      <c r="J17" s="14"/>
      <c r="K17" s="14">
        <f t="shared" ref="K17:K54" si="4">J17+I17+H17</f>
        <v>0</v>
      </c>
      <c r="L17" s="50" t="e">
        <f t="shared" si="1"/>
        <v>#DIV/0!</v>
      </c>
      <c r="M17">
        <f t="shared" si="3"/>
        <v>0</v>
      </c>
    </row>
    <row r="18" spans="2:13" x14ac:dyDescent="0.4">
      <c r="B18" s="49" t="str">
        <f>IF(名簿!C14="","",名簿!C14 &amp; 名簿!D14)</f>
        <v/>
      </c>
      <c r="C18" s="12"/>
      <c r="D18" s="12"/>
      <c r="E18" s="12"/>
      <c r="F18" s="12">
        <f t="shared" si="2"/>
        <v>0</v>
      </c>
      <c r="G18" s="12" t="e">
        <f t="shared" si="0"/>
        <v>#DIV/0!</v>
      </c>
      <c r="H18" s="14"/>
      <c r="I18" s="14"/>
      <c r="J18" s="14"/>
      <c r="K18" s="14">
        <f t="shared" si="4"/>
        <v>0</v>
      </c>
      <c r="L18" s="50" t="e">
        <f t="shared" si="1"/>
        <v>#DIV/0!</v>
      </c>
      <c r="M18">
        <f t="shared" si="3"/>
        <v>0</v>
      </c>
    </row>
    <row r="19" spans="2:13" x14ac:dyDescent="0.4">
      <c r="B19" s="49" t="str">
        <f>IF(名簿!C15="","",名簿!C15 &amp; 名簿!D15)</f>
        <v/>
      </c>
      <c r="C19" s="12"/>
      <c r="D19" s="12"/>
      <c r="E19" s="12"/>
      <c r="F19" s="12">
        <f t="shared" si="2"/>
        <v>0</v>
      </c>
      <c r="G19" s="12" t="e">
        <f t="shared" si="0"/>
        <v>#DIV/0!</v>
      </c>
      <c r="H19" s="14"/>
      <c r="I19" s="14"/>
      <c r="J19" s="14"/>
      <c r="K19" s="14">
        <f t="shared" si="4"/>
        <v>0</v>
      </c>
      <c r="L19" s="50" t="e">
        <f t="shared" si="1"/>
        <v>#DIV/0!</v>
      </c>
      <c r="M19">
        <f t="shared" si="3"/>
        <v>0</v>
      </c>
    </row>
    <row r="20" spans="2:13" x14ac:dyDescent="0.4">
      <c r="B20" s="49" t="str">
        <f>IF(名簿!C16="","",名簿!C16 &amp; 名簿!D16)</f>
        <v/>
      </c>
      <c r="C20" s="12"/>
      <c r="D20" s="12"/>
      <c r="E20" s="12"/>
      <c r="F20" s="12">
        <f t="shared" si="2"/>
        <v>0</v>
      </c>
      <c r="G20" s="12" t="e">
        <f t="shared" si="0"/>
        <v>#DIV/0!</v>
      </c>
      <c r="H20" s="14"/>
      <c r="I20" s="14"/>
      <c r="J20" s="14"/>
      <c r="K20" s="14">
        <f t="shared" si="4"/>
        <v>0</v>
      </c>
      <c r="L20" s="50" t="e">
        <f t="shared" si="1"/>
        <v>#DIV/0!</v>
      </c>
      <c r="M20">
        <f t="shared" si="3"/>
        <v>0</v>
      </c>
    </row>
    <row r="21" spans="2:13" x14ac:dyDescent="0.4">
      <c r="B21" s="49" t="str">
        <f>IF(名簿!C17="","",名簿!C17 &amp; 名簿!D17)</f>
        <v/>
      </c>
      <c r="C21" s="12"/>
      <c r="D21" s="12"/>
      <c r="E21" s="12"/>
      <c r="F21" s="12">
        <f t="shared" si="2"/>
        <v>0</v>
      </c>
      <c r="G21" s="12" t="e">
        <f t="shared" si="0"/>
        <v>#DIV/0!</v>
      </c>
      <c r="H21" s="14"/>
      <c r="I21" s="14"/>
      <c r="J21" s="14"/>
      <c r="K21" s="14">
        <f t="shared" si="4"/>
        <v>0</v>
      </c>
      <c r="L21" s="50" t="e">
        <f t="shared" si="1"/>
        <v>#DIV/0!</v>
      </c>
      <c r="M21">
        <f t="shared" si="3"/>
        <v>0</v>
      </c>
    </row>
    <row r="22" spans="2:13" x14ac:dyDescent="0.4">
      <c r="B22" s="49" t="str">
        <f>IF(名簿!C18="","",名簿!C18 &amp; 名簿!D18)</f>
        <v/>
      </c>
      <c r="C22" s="12"/>
      <c r="D22" s="12"/>
      <c r="E22" s="12"/>
      <c r="F22" s="12">
        <f t="shared" si="2"/>
        <v>0</v>
      </c>
      <c r="G22" s="12" t="e">
        <f t="shared" si="0"/>
        <v>#DIV/0!</v>
      </c>
      <c r="H22" s="14"/>
      <c r="I22" s="14"/>
      <c r="J22" s="14"/>
      <c r="K22" s="14">
        <f t="shared" si="4"/>
        <v>0</v>
      </c>
      <c r="L22" s="50" t="e">
        <f t="shared" si="1"/>
        <v>#DIV/0!</v>
      </c>
      <c r="M22">
        <f t="shared" si="3"/>
        <v>0</v>
      </c>
    </row>
    <row r="23" spans="2:13" x14ac:dyDescent="0.4">
      <c r="B23" s="49" t="str">
        <f>IF(名簿!C19="","",名簿!C19 &amp; 名簿!D19)</f>
        <v/>
      </c>
      <c r="C23" s="12"/>
      <c r="D23" s="12"/>
      <c r="E23" s="12"/>
      <c r="F23" s="12">
        <f t="shared" si="2"/>
        <v>0</v>
      </c>
      <c r="G23" s="12" t="e">
        <f t="shared" si="0"/>
        <v>#DIV/0!</v>
      </c>
      <c r="H23" s="14"/>
      <c r="I23" s="14"/>
      <c r="J23" s="14"/>
      <c r="K23" s="14">
        <f t="shared" si="4"/>
        <v>0</v>
      </c>
      <c r="L23" s="50" t="e">
        <f t="shared" si="1"/>
        <v>#DIV/0!</v>
      </c>
      <c r="M23">
        <f t="shared" si="3"/>
        <v>0</v>
      </c>
    </row>
    <row r="24" spans="2:13" x14ac:dyDescent="0.4">
      <c r="B24" s="49" t="str">
        <f>IF(名簿!C20="","",名簿!C20 &amp; 名簿!D20)</f>
        <v/>
      </c>
      <c r="C24" s="12"/>
      <c r="D24" s="12"/>
      <c r="E24" s="12"/>
      <c r="F24" s="12">
        <f t="shared" si="2"/>
        <v>0</v>
      </c>
      <c r="G24" s="12" t="e">
        <f t="shared" si="0"/>
        <v>#DIV/0!</v>
      </c>
      <c r="H24" s="14"/>
      <c r="I24" s="14"/>
      <c r="J24" s="14"/>
      <c r="K24" s="14">
        <f t="shared" si="4"/>
        <v>0</v>
      </c>
      <c r="L24" s="50" t="e">
        <f t="shared" si="1"/>
        <v>#DIV/0!</v>
      </c>
      <c r="M24">
        <f t="shared" si="3"/>
        <v>0</v>
      </c>
    </row>
    <row r="25" spans="2:13" x14ac:dyDescent="0.4">
      <c r="B25" s="49" t="str">
        <f>IF(名簿!C21="","",名簿!C21 &amp; 名簿!D21)</f>
        <v/>
      </c>
      <c r="C25" s="12"/>
      <c r="D25" s="12"/>
      <c r="E25" s="12"/>
      <c r="F25" s="12">
        <f t="shared" si="2"/>
        <v>0</v>
      </c>
      <c r="G25" s="12" t="e">
        <f t="shared" si="0"/>
        <v>#DIV/0!</v>
      </c>
      <c r="H25" s="14"/>
      <c r="I25" s="14"/>
      <c r="J25" s="14"/>
      <c r="K25" s="14">
        <f t="shared" si="4"/>
        <v>0</v>
      </c>
      <c r="L25" s="50" t="e">
        <f t="shared" si="1"/>
        <v>#DIV/0!</v>
      </c>
      <c r="M25">
        <f t="shared" si="3"/>
        <v>0</v>
      </c>
    </row>
    <row r="26" spans="2:13" x14ac:dyDescent="0.4">
      <c r="B26" s="49" t="str">
        <f>IF(名簿!C22="","",名簿!C22 &amp; 名簿!D22)</f>
        <v/>
      </c>
      <c r="C26" s="12"/>
      <c r="D26" s="12"/>
      <c r="E26" s="12"/>
      <c r="F26" s="12">
        <f t="shared" si="2"/>
        <v>0</v>
      </c>
      <c r="G26" s="12" t="e">
        <f t="shared" si="0"/>
        <v>#DIV/0!</v>
      </c>
      <c r="H26" s="14"/>
      <c r="I26" s="14"/>
      <c r="J26" s="14"/>
      <c r="K26" s="14">
        <f t="shared" si="4"/>
        <v>0</v>
      </c>
      <c r="L26" s="50" t="e">
        <f t="shared" si="1"/>
        <v>#DIV/0!</v>
      </c>
      <c r="M26">
        <f t="shared" si="3"/>
        <v>0</v>
      </c>
    </row>
    <row r="27" spans="2:13" x14ac:dyDescent="0.4">
      <c r="B27" s="49" t="str">
        <f>IF(名簿!C23="","",名簿!C23 &amp; 名簿!D23)</f>
        <v/>
      </c>
      <c r="C27" s="12"/>
      <c r="D27" s="12"/>
      <c r="E27" s="12"/>
      <c r="F27" s="12">
        <f t="shared" si="2"/>
        <v>0</v>
      </c>
      <c r="G27" s="12" t="e">
        <f t="shared" si="0"/>
        <v>#DIV/0!</v>
      </c>
      <c r="H27" s="14"/>
      <c r="I27" s="14"/>
      <c r="J27" s="14"/>
      <c r="K27" s="14">
        <f t="shared" si="4"/>
        <v>0</v>
      </c>
      <c r="L27" s="50" t="e">
        <f t="shared" si="1"/>
        <v>#DIV/0!</v>
      </c>
      <c r="M27">
        <f t="shared" si="3"/>
        <v>0</v>
      </c>
    </row>
    <row r="28" spans="2:13" x14ac:dyDescent="0.4">
      <c r="B28" s="49" t="str">
        <f>IF(名簿!C24="","",名簿!C24 &amp; 名簿!D24)</f>
        <v/>
      </c>
      <c r="C28" s="12"/>
      <c r="D28" s="12"/>
      <c r="E28" s="12"/>
      <c r="F28" s="12">
        <f t="shared" si="2"/>
        <v>0</v>
      </c>
      <c r="G28" s="12" t="e">
        <f t="shared" si="0"/>
        <v>#DIV/0!</v>
      </c>
      <c r="H28" s="14"/>
      <c r="I28" s="14"/>
      <c r="J28" s="14"/>
      <c r="K28" s="14">
        <f t="shared" si="4"/>
        <v>0</v>
      </c>
      <c r="L28" s="50" t="e">
        <f t="shared" si="1"/>
        <v>#DIV/0!</v>
      </c>
      <c r="M28">
        <f t="shared" si="3"/>
        <v>0</v>
      </c>
    </row>
    <row r="29" spans="2:13" x14ac:dyDescent="0.4">
      <c r="B29" s="49" t="str">
        <f>IF(名簿!C25="","",名簿!C25 &amp; 名簿!D25)</f>
        <v/>
      </c>
      <c r="C29" s="12"/>
      <c r="D29" s="12"/>
      <c r="E29" s="12"/>
      <c r="F29" s="12">
        <f t="shared" si="2"/>
        <v>0</v>
      </c>
      <c r="G29" s="12" t="e">
        <f t="shared" si="0"/>
        <v>#DIV/0!</v>
      </c>
      <c r="H29" s="14"/>
      <c r="I29" s="14"/>
      <c r="J29" s="14"/>
      <c r="K29" s="14">
        <f t="shared" si="4"/>
        <v>0</v>
      </c>
      <c r="L29" s="50" t="e">
        <f t="shared" si="1"/>
        <v>#DIV/0!</v>
      </c>
      <c r="M29">
        <f t="shared" si="3"/>
        <v>0</v>
      </c>
    </row>
    <row r="30" spans="2:13" x14ac:dyDescent="0.4">
      <c r="B30" s="49" t="str">
        <f>IF(名簿!C26="","",名簿!C26 &amp; 名簿!D26)</f>
        <v/>
      </c>
      <c r="C30" s="12"/>
      <c r="D30" s="12"/>
      <c r="E30" s="12"/>
      <c r="F30" s="12">
        <f t="shared" si="2"/>
        <v>0</v>
      </c>
      <c r="G30" s="12" t="e">
        <f t="shared" si="0"/>
        <v>#DIV/0!</v>
      </c>
      <c r="H30" s="14"/>
      <c r="I30" s="14"/>
      <c r="J30" s="14"/>
      <c r="K30" s="14">
        <f t="shared" si="4"/>
        <v>0</v>
      </c>
      <c r="L30" s="50" t="e">
        <f t="shared" si="1"/>
        <v>#DIV/0!</v>
      </c>
      <c r="M30">
        <f t="shared" si="3"/>
        <v>0</v>
      </c>
    </row>
    <row r="31" spans="2:13" x14ac:dyDescent="0.4">
      <c r="B31" s="49" t="str">
        <f>IF(名簿!C27="","",名簿!C27 &amp; 名簿!D27)</f>
        <v/>
      </c>
      <c r="C31" s="12"/>
      <c r="D31" s="12"/>
      <c r="E31" s="12"/>
      <c r="F31" s="12">
        <f t="shared" si="2"/>
        <v>0</v>
      </c>
      <c r="G31" s="12" t="e">
        <f t="shared" si="0"/>
        <v>#DIV/0!</v>
      </c>
      <c r="H31" s="14"/>
      <c r="I31" s="14"/>
      <c r="J31" s="14"/>
      <c r="K31" s="14">
        <f t="shared" si="4"/>
        <v>0</v>
      </c>
      <c r="L31" s="50" t="e">
        <f t="shared" si="1"/>
        <v>#DIV/0!</v>
      </c>
      <c r="M31">
        <f t="shared" si="3"/>
        <v>0</v>
      </c>
    </row>
    <row r="32" spans="2:13" x14ac:dyDescent="0.4">
      <c r="B32" s="49" t="str">
        <f>IF(名簿!C28="","",名簿!C28 &amp; 名簿!D28)</f>
        <v/>
      </c>
      <c r="C32" s="12"/>
      <c r="D32" s="12"/>
      <c r="E32" s="12"/>
      <c r="F32" s="12">
        <f t="shared" si="2"/>
        <v>0</v>
      </c>
      <c r="G32" s="12" t="e">
        <f t="shared" si="0"/>
        <v>#DIV/0!</v>
      </c>
      <c r="H32" s="14"/>
      <c r="I32" s="14"/>
      <c r="J32" s="14"/>
      <c r="K32" s="14">
        <f t="shared" si="4"/>
        <v>0</v>
      </c>
      <c r="L32" s="50" t="e">
        <f t="shared" si="1"/>
        <v>#DIV/0!</v>
      </c>
      <c r="M32">
        <f t="shared" si="3"/>
        <v>0</v>
      </c>
    </row>
    <row r="33" spans="2:13" x14ac:dyDescent="0.4">
      <c r="B33" s="49" t="str">
        <f>IF(名簿!C29="","",名簿!C29 &amp; 名簿!D29)</f>
        <v/>
      </c>
      <c r="C33" s="12"/>
      <c r="D33" s="12"/>
      <c r="E33" s="12"/>
      <c r="F33" s="12">
        <f t="shared" si="2"/>
        <v>0</v>
      </c>
      <c r="G33" s="12" t="e">
        <f t="shared" si="0"/>
        <v>#DIV/0!</v>
      </c>
      <c r="H33" s="14"/>
      <c r="I33" s="14"/>
      <c r="J33" s="14"/>
      <c r="K33" s="14">
        <f t="shared" si="4"/>
        <v>0</v>
      </c>
      <c r="L33" s="50" t="e">
        <f t="shared" si="1"/>
        <v>#DIV/0!</v>
      </c>
      <c r="M33">
        <f t="shared" si="3"/>
        <v>0</v>
      </c>
    </row>
    <row r="34" spans="2:13" x14ac:dyDescent="0.4">
      <c r="B34" s="49" t="str">
        <f>IF(名簿!C30="","",名簿!C30 &amp; 名簿!D30)</f>
        <v/>
      </c>
      <c r="C34" s="12"/>
      <c r="D34" s="12"/>
      <c r="E34" s="12"/>
      <c r="F34" s="12">
        <f t="shared" si="2"/>
        <v>0</v>
      </c>
      <c r="G34" s="12" t="e">
        <f t="shared" si="0"/>
        <v>#DIV/0!</v>
      </c>
      <c r="H34" s="14"/>
      <c r="I34" s="14"/>
      <c r="J34" s="14"/>
      <c r="K34" s="14">
        <f t="shared" si="4"/>
        <v>0</v>
      </c>
      <c r="L34" s="50" t="e">
        <f t="shared" si="1"/>
        <v>#DIV/0!</v>
      </c>
      <c r="M34">
        <f t="shared" si="3"/>
        <v>0</v>
      </c>
    </row>
    <row r="35" spans="2:13" x14ac:dyDescent="0.4">
      <c r="B35" s="49" t="str">
        <f>IF(名簿!C31="","",名簿!C31 &amp; 名簿!D31)</f>
        <v/>
      </c>
      <c r="C35" s="12"/>
      <c r="D35" s="12"/>
      <c r="E35" s="12"/>
      <c r="F35" s="12">
        <f t="shared" si="2"/>
        <v>0</v>
      </c>
      <c r="G35" s="12" t="e">
        <f t="shared" si="0"/>
        <v>#DIV/0!</v>
      </c>
      <c r="H35" s="14"/>
      <c r="I35" s="14"/>
      <c r="J35" s="14"/>
      <c r="K35" s="14">
        <f t="shared" si="4"/>
        <v>0</v>
      </c>
      <c r="L35" s="50" t="e">
        <f t="shared" si="1"/>
        <v>#DIV/0!</v>
      </c>
      <c r="M35">
        <f>F35-K35</f>
        <v>0</v>
      </c>
    </row>
    <row r="36" spans="2:13" x14ac:dyDescent="0.4">
      <c r="B36" s="49" t="str">
        <f>IF(名簿!C32="","",名簿!C32 &amp; 名簿!D32)</f>
        <v/>
      </c>
      <c r="C36" s="12"/>
      <c r="D36" s="12"/>
      <c r="E36" s="12"/>
      <c r="F36" s="12">
        <f t="shared" si="2"/>
        <v>0</v>
      </c>
      <c r="G36" s="12" t="e">
        <f t="shared" si="0"/>
        <v>#DIV/0!</v>
      </c>
      <c r="H36" s="14"/>
      <c r="I36" s="14"/>
      <c r="J36" s="14"/>
      <c r="K36" s="14">
        <f t="shared" si="4"/>
        <v>0</v>
      </c>
      <c r="L36" s="50" t="e">
        <f t="shared" si="1"/>
        <v>#DIV/0!</v>
      </c>
      <c r="M36">
        <f t="shared" si="3"/>
        <v>0</v>
      </c>
    </row>
    <row r="37" spans="2:13" x14ac:dyDescent="0.4">
      <c r="B37" s="49" t="str">
        <f>IF(名簿!C33="","",名簿!C33 &amp; 名簿!D33)</f>
        <v/>
      </c>
      <c r="C37" s="12"/>
      <c r="D37" s="12"/>
      <c r="E37" s="12"/>
      <c r="F37" s="12">
        <f t="shared" si="2"/>
        <v>0</v>
      </c>
      <c r="G37" s="12" t="e">
        <f t="shared" si="0"/>
        <v>#DIV/0!</v>
      </c>
      <c r="H37" s="14"/>
      <c r="I37" s="14"/>
      <c r="J37" s="14"/>
      <c r="K37" s="14">
        <f t="shared" si="4"/>
        <v>0</v>
      </c>
      <c r="L37" s="50" t="e">
        <f t="shared" si="1"/>
        <v>#DIV/0!</v>
      </c>
      <c r="M37">
        <f t="shared" si="3"/>
        <v>0</v>
      </c>
    </row>
    <row r="38" spans="2:13" x14ac:dyDescent="0.4">
      <c r="B38" s="49" t="str">
        <f>IF(名簿!C34="","",名簿!C34 &amp; 名簿!D34)</f>
        <v/>
      </c>
      <c r="C38" s="12"/>
      <c r="D38" s="12"/>
      <c r="E38" s="12"/>
      <c r="F38" s="12">
        <f t="shared" si="2"/>
        <v>0</v>
      </c>
      <c r="G38" s="12" t="e">
        <f t="shared" si="0"/>
        <v>#DIV/0!</v>
      </c>
      <c r="H38" s="14"/>
      <c r="I38" s="14"/>
      <c r="J38" s="14"/>
      <c r="K38" s="14">
        <f t="shared" si="4"/>
        <v>0</v>
      </c>
      <c r="L38" s="50" t="e">
        <f t="shared" si="1"/>
        <v>#DIV/0!</v>
      </c>
      <c r="M38">
        <f t="shared" si="3"/>
        <v>0</v>
      </c>
    </row>
    <row r="39" spans="2:13" x14ac:dyDescent="0.4">
      <c r="B39" s="49" t="str">
        <f>IF(名簿!C35="","",名簿!C35 &amp; 名簿!D35)</f>
        <v/>
      </c>
      <c r="C39" s="12"/>
      <c r="D39" s="12"/>
      <c r="E39" s="12"/>
      <c r="F39" s="12">
        <f t="shared" si="2"/>
        <v>0</v>
      </c>
      <c r="G39" s="12" t="e">
        <f t="shared" si="0"/>
        <v>#DIV/0!</v>
      </c>
      <c r="H39" s="14"/>
      <c r="I39" s="14"/>
      <c r="J39" s="14"/>
      <c r="K39" s="14">
        <f t="shared" si="4"/>
        <v>0</v>
      </c>
      <c r="L39" s="50" t="e">
        <f t="shared" si="1"/>
        <v>#DIV/0!</v>
      </c>
      <c r="M39">
        <f t="shared" si="3"/>
        <v>0</v>
      </c>
    </row>
    <row r="40" spans="2:13" x14ac:dyDescent="0.4">
      <c r="B40" s="49" t="str">
        <f>IF(名簿!C36="","",名簿!C36 &amp; 名簿!D36)</f>
        <v/>
      </c>
      <c r="C40" s="12"/>
      <c r="D40" s="12"/>
      <c r="E40" s="12"/>
      <c r="F40" s="12">
        <f t="shared" si="2"/>
        <v>0</v>
      </c>
      <c r="G40" s="12" t="e">
        <f t="shared" si="0"/>
        <v>#DIV/0!</v>
      </c>
      <c r="H40" s="14"/>
      <c r="I40" s="14"/>
      <c r="J40" s="14"/>
      <c r="K40" s="14">
        <f t="shared" si="4"/>
        <v>0</v>
      </c>
      <c r="L40" s="50" t="e">
        <f t="shared" si="1"/>
        <v>#DIV/0!</v>
      </c>
      <c r="M40">
        <f t="shared" si="3"/>
        <v>0</v>
      </c>
    </row>
    <row r="41" spans="2:13" x14ac:dyDescent="0.4">
      <c r="B41" s="49" t="str">
        <f>IF(名簿!C37="","",名簿!C37 &amp; 名簿!D37)</f>
        <v/>
      </c>
      <c r="C41" s="12"/>
      <c r="D41" s="12"/>
      <c r="E41" s="12"/>
      <c r="F41" s="12">
        <f>E41+D41+C41</f>
        <v>0</v>
      </c>
      <c r="G41" s="12" t="e">
        <f t="shared" si="0"/>
        <v>#DIV/0!</v>
      </c>
      <c r="H41" s="14"/>
      <c r="I41" s="14"/>
      <c r="J41" s="14"/>
      <c r="K41" s="14">
        <f t="shared" si="4"/>
        <v>0</v>
      </c>
      <c r="L41" s="50" t="e">
        <f t="shared" si="1"/>
        <v>#DIV/0!</v>
      </c>
      <c r="M41">
        <f t="shared" si="3"/>
        <v>0</v>
      </c>
    </row>
    <row r="42" spans="2:13" x14ac:dyDescent="0.4">
      <c r="B42" s="49" t="str">
        <f>IF(名簿!C38="","",名簿!C38 &amp; 名簿!D38)</f>
        <v/>
      </c>
      <c r="C42" s="12"/>
      <c r="D42" s="12"/>
      <c r="E42" s="12"/>
      <c r="F42" s="12">
        <f>E42+D42+C42</f>
        <v>0</v>
      </c>
      <c r="G42" s="12" t="e">
        <f t="shared" ref="G42:G51" si="5">ROUND((F42-$D$3)*10/$D$4+50,0)</f>
        <v>#DIV/0!</v>
      </c>
      <c r="H42" s="14"/>
      <c r="I42" s="14"/>
      <c r="J42" s="14"/>
      <c r="K42" s="14">
        <f t="shared" si="4"/>
        <v>0</v>
      </c>
      <c r="L42" s="50" t="e">
        <f t="shared" si="1"/>
        <v>#DIV/0!</v>
      </c>
      <c r="M42">
        <f t="shared" si="3"/>
        <v>0</v>
      </c>
    </row>
    <row r="43" spans="2:13" x14ac:dyDescent="0.4">
      <c r="B43" s="49" t="str">
        <f>IF(名簿!C39="","",名簿!C39 &amp; 名簿!D39)</f>
        <v/>
      </c>
      <c r="C43" s="12"/>
      <c r="D43" s="12"/>
      <c r="E43" s="12"/>
      <c r="F43" s="12">
        <f>E43+D43+C43</f>
        <v>0</v>
      </c>
      <c r="G43" s="12" t="e">
        <f t="shared" si="5"/>
        <v>#DIV/0!</v>
      </c>
      <c r="H43" s="14"/>
      <c r="I43" s="14"/>
      <c r="J43" s="14"/>
      <c r="K43" s="14">
        <f t="shared" si="4"/>
        <v>0</v>
      </c>
      <c r="L43" s="50" t="e">
        <f t="shared" si="1"/>
        <v>#DIV/0!</v>
      </c>
      <c r="M43">
        <f t="shared" si="3"/>
        <v>0</v>
      </c>
    </row>
    <row r="44" spans="2:13" x14ac:dyDescent="0.4">
      <c r="B44" s="49" t="str">
        <f>IF(名簿!C40="","",名簿!C40 &amp; 名簿!D40)</f>
        <v/>
      </c>
      <c r="C44" s="12"/>
      <c r="D44" s="12"/>
      <c r="E44" s="12"/>
      <c r="F44" s="12">
        <f>E44+D44+C44</f>
        <v>0</v>
      </c>
      <c r="G44" s="12" t="e">
        <f t="shared" si="5"/>
        <v>#DIV/0!</v>
      </c>
      <c r="H44" s="14"/>
      <c r="I44" s="14"/>
      <c r="J44" s="14"/>
      <c r="K44" s="14">
        <f t="shared" si="4"/>
        <v>0</v>
      </c>
      <c r="L44" s="50" t="e">
        <f t="shared" si="1"/>
        <v>#DIV/0!</v>
      </c>
      <c r="M44">
        <f t="shared" si="3"/>
        <v>0</v>
      </c>
    </row>
    <row r="45" spans="2:13" x14ac:dyDescent="0.4">
      <c r="B45" s="49" t="str">
        <f>IF(名簿!C41="","",名簿!C41 &amp; 名簿!D41)</f>
        <v/>
      </c>
      <c r="C45" s="12"/>
      <c r="D45" s="12"/>
      <c r="E45" s="12"/>
      <c r="F45" s="12">
        <f t="shared" si="2"/>
        <v>0</v>
      </c>
      <c r="G45" s="12" t="e">
        <f t="shared" si="5"/>
        <v>#DIV/0!</v>
      </c>
      <c r="H45" s="14"/>
      <c r="I45" s="14"/>
      <c r="J45" s="14"/>
      <c r="K45" s="14">
        <f t="shared" si="4"/>
        <v>0</v>
      </c>
      <c r="L45" s="50" t="e">
        <f t="shared" si="1"/>
        <v>#DIV/0!</v>
      </c>
      <c r="M45">
        <f t="shared" si="3"/>
        <v>0</v>
      </c>
    </row>
    <row r="46" spans="2:13" x14ac:dyDescent="0.4">
      <c r="B46" s="49" t="str">
        <f>IF(名簿!C42="","",名簿!C42 &amp; 名簿!D42)</f>
        <v/>
      </c>
      <c r="C46" s="12"/>
      <c r="D46" s="12"/>
      <c r="E46" s="12"/>
      <c r="F46" s="12">
        <f t="shared" si="2"/>
        <v>0</v>
      </c>
      <c r="G46" s="12" t="e">
        <f t="shared" si="5"/>
        <v>#DIV/0!</v>
      </c>
      <c r="H46" s="14"/>
      <c r="I46" s="14"/>
      <c r="J46" s="14"/>
      <c r="K46" s="14">
        <f t="shared" si="4"/>
        <v>0</v>
      </c>
      <c r="L46" s="50" t="e">
        <f t="shared" si="1"/>
        <v>#DIV/0!</v>
      </c>
      <c r="M46">
        <f t="shared" si="3"/>
        <v>0</v>
      </c>
    </row>
    <row r="47" spans="2:13" x14ac:dyDescent="0.4">
      <c r="B47" s="49" t="str">
        <f>IF(名簿!C43="","",名簿!C43 &amp; 名簿!D43)</f>
        <v/>
      </c>
      <c r="C47" s="12"/>
      <c r="D47" s="12"/>
      <c r="E47" s="12"/>
      <c r="F47" s="12">
        <f t="shared" si="2"/>
        <v>0</v>
      </c>
      <c r="G47" s="12" t="e">
        <f t="shared" si="5"/>
        <v>#DIV/0!</v>
      </c>
      <c r="H47" s="14"/>
      <c r="I47" s="14"/>
      <c r="J47" s="14"/>
      <c r="K47" s="14">
        <f t="shared" si="4"/>
        <v>0</v>
      </c>
      <c r="L47" s="50" t="e">
        <f t="shared" si="1"/>
        <v>#DIV/0!</v>
      </c>
      <c r="M47">
        <f t="shared" si="3"/>
        <v>0</v>
      </c>
    </row>
    <row r="48" spans="2:13" x14ac:dyDescent="0.4">
      <c r="B48" s="49" t="str">
        <f>IF(名簿!C44="","",名簿!C44 &amp; 名簿!D44)</f>
        <v/>
      </c>
      <c r="C48" s="12"/>
      <c r="D48" s="12"/>
      <c r="E48" s="12"/>
      <c r="F48" s="12">
        <f t="shared" si="2"/>
        <v>0</v>
      </c>
      <c r="G48" s="12" t="e">
        <f t="shared" si="5"/>
        <v>#DIV/0!</v>
      </c>
      <c r="H48" s="14"/>
      <c r="I48" s="14"/>
      <c r="J48" s="14"/>
      <c r="K48" s="14">
        <f t="shared" si="4"/>
        <v>0</v>
      </c>
      <c r="L48" s="50" t="e">
        <f t="shared" si="1"/>
        <v>#DIV/0!</v>
      </c>
      <c r="M48">
        <f t="shared" si="3"/>
        <v>0</v>
      </c>
    </row>
    <row r="49" spans="2:13" x14ac:dyDescent="0.4">
      <c r="B49" s="49" t="str">
        <f>IF(名簿!C45="","",名簿!C45 &amp; 名簿!D45)</f>
        <v/>
      </c>
      <c r="C49" s="12"/>
      <c r="D49" s="12"/>
      <c r="E49" s="12"/>
      <c r="F49" s="12">
        <f t="shared" si="2"/>
        <v>0</v>
      </c>
      <c r="G49" s="12" t="e">
        <f t="shared" si="5"/>
        <v>#DIV/0!</v>
      </c>
      <c r="H49" s="14"/>
      <c r="I49" s="14"/>
      <c r="J49" s="14"/>
      <c r="K49" s="14">
        <f t="shared" si="4"/>
        <v>0</v>
      </c>
      <c r="L49" s="50" t="e">
        <f t="shared" si="1"/>
        <v>#DIV/0!</v>
      </c>
      <c r="M49">
        <f t="shared" si="3"/>
        <v>0</v>
      </c>
    </row>
    <row r="50" spans="2:13" x14ac:dyDescent="0.4">
      <c r="B50" s="49" t="str">
        <f>IF(名簿!C46="","",名簿!C46 &amp; 名簿!D46)</f>
        <v/>
      </c>
      <c r="C50" s="12"/>
      <c r="D50" s="12"/>
      <c r="E50" s="12"/>
      <c r="F50" s="12">
        <f t="shared" si="2"/>
        <v>0</v>
      </c>
      <c r="G50" s="12" t="e">
        <f t="shared" si="5"/>
        <v>#DIV/0!</v>
      </c>
      <c r="H50" s="14"/>
      <c r="I50" s="14"/>
      <c r="J50" s="14"/>
      <c r="K50" s="14">
        <f t="shared" si="4"/>
        <v>0</v>
      </c>
      <c r="L50" s="50" t="e">
        <f t="shared" si="1"/>
        <v>#DIV/0!</v>
      </c>
      <c r="M50">
        <f t="shared" si="3"/>
        <v>0</v>
      </c>
    </row>
    <row r="51" spans="2:13" x14ac:dyDescent="0.4">
      <c r="B51" s="49" t="str">
        <f>IF(名簿!C47="","",名簿!C47 &amp; 名簿!D47)</f>
        <v/>
      </c>
      <c r="C51" s="12"/>
      <c r="D51" s="12"/>
      <c r="E51" s="12"/>
      <c r="F51" s="12">
        <f t="shared" si="2"/>
        <v>0</v>
      </c>
      <c r="G51" s="12" t="e">
        <f t="shared" si="5"/>
        <v>#DIV/0!</v>
      </c>
      <c r="H51" s="14"/>
      <c r="I51" s="14"/>
      <c r="J51" s="14"/>
      <c r="K51" s="14">
        <f t="shared" si="4"/>
        <v>0</v>
      </c>
      <c r="L51" s="50" t="e">
        <f t="shared" si="1"/>
        <v>#DIV/0!</v>
      </c>
      <c r="M51">
        <f t="shared" si="3"/>
        <v>0</v>
      </c>
    </row>
    <row r="52" spans="2:13" x14ac:dyDescent="0.4">
      <c r="B52" s="49" t="str">
        <f>IF(名簿!C48="","",名簿!C48 &amp; 名簿!D48)</f>
        <v/>
      </c>
      <c r="C52" s="12"/>
      <c r="D52" s="12"/>
      <c r="E52" s="12"/>
      <c r="F52" s="12">
        <f t="shared" si="2"/>
        <v>0</v>
      </c>
      <c r="G52" s="12" t="e">
        <f t="shared" si="0"/>
        <v>#DIV/0!</v>
      </c>
      <c r="H52" s="14"/>
      <c r="I52" s="14"/>
      <c r="J52" s="14"/>
      <c r="K52" s="14">
        <f t="shared" si="4"/>
        <v>0</v>
      </c>
      <c r="L52" s="50" t="e">
        <f t="shared" si="1"/>
        <v>#DIV/0!</v>
      </c>
      <c r="M52">
        <f t="shared" si="3"/>
        <v>0</v>
      </c>
    </row>
    <row r="53" spans="2:13" x14ac:dyDescent="0.4">
      <c r="B53" s="49" t="str">
        <f>IF(名簿!C49="","",名簿!C49 &amp; 名簿!D49)</f>
        <v/>
      </c>
      <c r="C53" s="12"/>
      <c r="D53" s="12"/>
      <c r="E53" s="12"/>
      <c r="F53" s="12">
        <f t="shared" si="2"/>
        <v>0</v>
      </c>
      <c r="G53" s="12" t="e">
        <f t="shared" si="0"/>
        <v>#DIV/0!</v>
      </c>
      <c r="H53" s="14"/>
      <c r="I53" s="14"/>
      <c r="J53" s="14"/>
      <c r="K53" s="14">
        <f t="shared" si="4"/>
        <v>0</v>
      </c>
      <c r="L53" s="50" t="e">
        <f t="shared" si="1"/>
        <v>#DIV/0!</v>
      </c>
      <c r="M53">
        <f t="shared" si="3"/>
        <v>0</v>
      </c>
    </row>
    <row r="54" spans="2:13" ht="19.5" thickBot="1" x14ac:dyDescent="0.45">
      <c r="B54" s="51" t="str">
        <f>IF(名簿!C50="","",名簿!C50 &amp; 名簿!D50)</f>
        <v/>
      </c>
      <c r="C54" s="52"/>
      <c r="D54" s="52"/>
      <c r="E54" s="52"/>
      <c r="F54" s="52">
        <f t="shared" si="2"/>
        <v>0</v>
      </c>
      <c r="G54" s="52" t="e">
        <f t="shared" si="0"/>
        <v>#DIV/0!</v>
      </c>
      <c r="H54" s="53"/>
      <c r="I54" s="53"/>
      <c r="J54" s="53"/>
      <c r="K54" s="53">
        <f t="shared" si="4"/>
        <v>0</v>
      </c>
      <c r="L54" s="54" t="e">
        <f t="shared" si="1"/>
        <v>#DIV/0!</v>
      </c>
      <c r="M54">
        <f t="shared" si="3"/>
        <v>0</v>
      </c>
    </row>
    <row r="55" spans="2:13" x14ac:dyDescent="0.4">
      <c r="L55" t="s">
        <v>52</v>
      </c>
      <c r="M55">
        <f>_xlfn.VAR.P(M15:M54)</f>
        <v>0</v>
      </c>
    </row>
    <row r="56" spans="2:13" x14ac:dyDescent="0.4">
      <c r="L56" t="s">
        <v>56</v>
      </c>
      <c r="M56">
        <f>AVERAGE(M15:M54)</f>
        <v>0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_individual.ShowAnalysisForm">
                <anchor moveWithCells="1" sizeWithCells="1">
                  <from>
                    <xdr:col>0</xdr:col>
                    <xdr:colOff>19050</xdr:colOff>
                    <xdr:row>1</xdr:row>
                    <xdr:rowOff>0</xdr:rowOff>
                  </from>
                  <to>
                    <xdr:col>1</xdr:col>
                    <xdr:colOff>752475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M1" sqref="M1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3" customFormat="1" x14ac:dyDescent="0.4">
      <c r="A2" s="3" t="s">
        <v>14</v>
      </c>
      <c r="B2" s="3" t="s">
        <v>0</v>
      </c>
      <c r="C2" s="3" t="s">
        <v>28</v>
      </c>
      <c r="D2" s="3" t="s">
        <v>2</v>
      </c>
      <c r="E2" s="3" t="s">
        <v>5</v>
      </c>
      <c r="F2" s="3" t="s">
        <v>78</v>
      </c>
      <c r="H2" s="3" t="s">
        <v>59</v>
      </c>
      <c r="I2" s="3" t="s">
        <v>60</v>
      </c>
    </row>
    <row r="3" spans="1:9" x14ac:dyDescent="0.4">
      <c r="A3" s="159" t="s">
        <v>15</v>
      </c>
      <c r="B3" s="159" t="s">
        <v>6</v>
      </c>
      <c r="C3">
        <v>0</v>
      </c>
      <c r="D3" s="159" t="s">
        <v>27</v>
      </c>
      <c r="E3" s="159" t="s">
        <v>24</v>
      </c>
      <c r="F3" s="159" t="s">
        <v>80</v>
      </c>
      <c r="H3" s="159">
        <v>90</v>
      </c>
      <c r="I3" s="159">
        <v>70</v>
      </c>
    </row>
    <row r="4" spans="1:9" x14ac:dyDescent="0.4">
      <c r="A4" s="159" t="s">
        <v>16</v>
      </c>
      <c r="B4" s="159" t="s">
        <v>8</v>
      </c>
      <c r="C4">
        <v>0</v>
      </c>
      <c r="D4" s="159" t="s">
        <v>26</v>
      </c>
      <c r="E4" t="str">
        <f>IF($E$3="前後期","前期","1学期")</f>
        <v>前期</v>
      </c>
      <c r="F4" s="160" t="s">
        <v>139</v>
      </c>
      <c r="H4" s="159">
        <v>90</v>
      </c>
      <c r="I4" s="159">
        <v>71</v>
      </c>
    </row>
    <row r="5" spans="1:9" x14ac:dyDescent="0.4">
      <c r="A5" s="159" t="s">
        <v>17</v>
      </c>
      <c r="B5" s="159" t="s">
        <v>7</v>
      </c>
      <c r="C5">
        <v>0</v>
      </c>
      <c r="D5" s="159" t="s">
        <v>25</v>
      </c>
      <c r="E5" t="str">
        <f>IF($E$3="前後期","後期","2学期")</f>
        <v>後期</v>
      </c>
      <c r="F5" s="159"/>
      <c r="H5" s="159">
        <v>91</v>
      </c>
      <c r="I5" s="159">
        <v>70</v>
      </c>
    </row>
    <row r="6" spans="1:9" x14ac:dyDescent="0.4">
      <c r="A6" s="159" t="s">
        <v>18</v>
      </c>
      <c r="B6" s="159" t="s">
        <v>9</v>
      </c>
      <c r="C6">
        <v>0</v>
      </c>
      <c r="D6" s="159"/>
      <c r="E6" t="str">
        <f>IF($E$3="前後期","","3学期")</f>
        <v/>
      </c>
      <c r="F6" s="159"/>
      <c r="H6" s="159"/>
      <c r="I6" s="159"/>
    </row>
    <row r="7" spans="1:9" x14ac:dyDescent="0.4">
      <c r="A7" s="159" t="s">
        <v>21</v>
      </c>
      <c r="B7" s="159" t="s">
        <v>19</v>
      </c>
      <c r="C7">
        <v>0</v>
      </c>
      <c r="D7" s="159"/>
      <c r="F7" s="159"/>
      <c r="H7" s="159"/>
      <c r="I7" s="159"/>
    </row>
    <row r="8" spans="1:9" x14ac:dyDescent="0.4">
      <c r="A8" s="159" t="s">
        <v>22</v>
      </c>
      <c r="B8" s="159" t="s">
        <v>20</v>
      </c>
      <c r="C8">
        <v>0</v>
      </c>
      <c r="D8" s="159"/>
      <c r="F8" s="159"/>
      <c r="H8" s="159"/>
      <c r="I8" s="159"/>
    </row>
    <row r="9" spans="1:9" x14ac:dyDescent="0.4">
      <c r="A9" s="159"/>
      <c r="B9" s="159"/>
      <c r="D9" s="159"/>
      <c r="F9" s="159"/>
      <c r="H9" s="159"/>
      <c r="I9" s="159"/>
    </row>
    <row r="10" spans="1:9" x14ac:dyDescent="0.4">
      <c r="A10" s="159"/>
      <c r="B10" s="159"/>
      <c r="D10" s="159"/>
      <c r="F10" s="159"/>
      <c r="H10" s="159"/>
      <c r="I10" s="159"/>
    </row>
    <row r="11" spans="1:9" x14ac:dyDescent="0.4">
      <c r="A11" s="159"/>
      <c r="B11" s="159"/>
      <c r="D11" s="159"/>
      <c r="F11" s="159"/>
      <c r="H11" s="159"/>
      <c r="I11" s="159"/>
    </row>
    <row r="12" spans="1:9" x14ac:dyDescent="0.4">
      <c r="A12" s="159"/>
      <c r="B12" s="159"/>
      <c r="D12" s="159"/>
      <c r="F12" s="159"/>
      <c r="H12" s="159"/>
      <c r="I12" s="159"/>
    </row>
    <row r="13" spans="1:9" x14ac:dyDescent="0.4">
      <c r="A13" s="159"/>
      <c r="B13" s="159"/>
      <c r="D13" s="159"/>
      <c r="F13" s="159"/>
      <c r="H13" s="159"/>
      <c r="I13" s="159"/>
    </row>
    <row r="14" spans="1:9" x14ac:dyDescent="0.4">
      <c r="A14" s="159"/>
      <c r="B14" s="159"/>
      <c r="D14" s="159"/>
      <c r="F14" s="159"/>
      <c r="H14" s="159"/>
      <c r="I14" s="159"/>
    </row>
    <row r="15" spans="1:9" x14ac:dyDescent="0.4">
      <c r="A15" s="159"/>
      <c r="B15" s="159"/>
      <c r="D15" s="159"/>
      <c r="F15" s="159"/>
      <c r="H15" s="159"/>
      <c r="I15" s="159"/>
    </row>
    <row r="16" spans="1:9" x14ac:dyDescent="0.4">
      <c r="A16" s="159"/>
      <c r="B16" s="159"/>
      <c r="D16" s="159"/>
      <c r="F16" s="159"/>
      <c r="H16" s="159"/>
      <c r="I16" s="159"/>
    </row>
    <row r="17" spans="8:9" x14ac:dyDescent="0.4">
      <c r="H17" s="159"/>
      <c r="I17" s="159"/>
    </row>
    <row r="18" spans="8:9" x14ac:dyDescent="0.4">
      <c r="H18" s="159"/>
      <c r="I18" s="159"/>
    </row>
    <row r="19" spans="8:9" x14ac:dyDescent="0.4">
      <c r="H19" s="159"/>
      <c r="I19" s="159"/>
    </row>
    <row r="20" spans="8:9" x14ac:dyDescent="0.4">
      <c r="H20" s="159"/>
      <c r="I20" s="159"/>
    </row>
    <row r="21" spans="8:9" x14ac:dyDescent="0.4">
      <c r="H21" s="159"/>
      <c r="I21" s="159"/>
    </row>
    <row r="22" spans="8:9" x14ac:dyDescent="0.4">
      <c r="H22" s="159"/>
      <c r="I22" s="159"/>
    </row>
    <row r="23" spans="8:9" x14ac:dyDescent="0.4">
      <c r="H23" s="159"/>
      <c r="I23" s="159"/>
    </row>
    <row r="24" spans="8:9" x14ac:dyDescent="0.4">
      <c r="H24" s="159"/>
      <c r="I24" s="159"/>
    </row>
    <row r="25" spans="8:9" x14ac:dyDescent="0.4">
      <c r="H25" s="159"/>
      <c r="I25" s="159"/>
    </row>
    <row r="26" spans="8:9" x14ac:dyDescent="0.4">
      <c r="H26" s="159"/>
      <c r="I26" s="159"/>
    </row>
    <row r="27" spans="8:9" x14ac:dyDescent="0.4">
      <c r="H27" s="159"/>
      <c r="I27" s="159"/>
    </row>
    <row r="28" spans="8:9" x14ac:dyDescent="0.4">
      <c r="H28" s="159"/>
      <c r="I28" s="159"/>
    </row>
    <row r="29" spans="8:9" x14ac:dyDescent="0.4">
      <c r="H29" s="159"/>
      <c r="I29" s="159"/>
    </row>
    <row r="30" spans="8:9" x14ac:dyDescent="0.4">
      <c r="H30" s="159"/>
      <c r="I30" s="159"/>
    </row>
    <row r="31" spans="8:9" x14ac:dyDescent="0.4">
      <c r="H31" s="159"/>
      <c r="I31" s="159"/>
    </row>
    <row r="32" spans="8:9" x14ac:dyDescent="0.4">
      <c r="H32" s="159"/>
      <c r="I32" s="159"/>
    </row>
  </sheetData>
  <sheetProtection algorithmName="SHA-512" hashValue="p04cKLVJ6xBsymPNw2Ezy/bYga4CbeE6HGpyBpd/g1Vf0KhyzNw3/tAsIRYyzYWJp8CUlsxz5jh6YM/rclGUug==" saltValue="EHYO/JOQDF4EfOAClRDHbQ==" spinCount="100000" sheet="1" objects="1"/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CompleteReset">
                <anchor moveWithCells="1" sizeWithCells="1">
                  <from>
                    <xdr:col>9</xdr:col>
                    <xdr:colOff>123825</xdr:colOff>
                    <xdr:row>0</xdr:row>
                    <xdr:rowOff>38100</xdr:rowOff>
                  </from>
                  <to>
                    <xdr:col>11</xdr:col>
                    <xdr:colOff>123825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>
    <tabColor rgb="FFFFC000"/>
  </sheetPr>
  <dimension ref="A1:J3"/>
  <sheetViews>
    <sheetView workbookViewId="0">
      <selection activeCell="D7" sqref="D7"/>
    </sheetView>
  </sheetViews>
  <sheetFormatPr defaultRowHeight="18.75" x14ac:dyDescent="0.4"/>
  <cols>
    <col min="7" max="7" width="41.5" customWidth="1"/>
  </cols>
  <sheetData>
    <row r="1" spans="1:10" ht="33" x14ac:dyDescent="0.4">
      <c r="A1" s="140" t="s">
        <v>113</v>
      </c>
      <c r="B1" s="139"/>
      <c r="C1" s="139"/>
      <c r="D1" s="139"/>
      <c r="E1" s="139"/>
      <c r="F1" s="139"/>
      <c r="G1" s="139"/>
    </row>
    <row r="2" spans="1:10" ht="24" customHeight="1" x14ac:dyDescent="0.4">
      <c r="A2" t="s">
        <v>144</v>
      </c>
    </row>
    <row r="3" spans="1:10" x14ac:dyDescent="0.4">
      <c r="A3" s="141" t="s">
        <v>87</v>
      </c>
      <c r="B3" s="141" t="s">
        <v>0</v>
      </c>
      <c r="C3" s="141" t="s">
        <v>94</v>
      </c>
      <c r="D3" s="141" t="s">
        <v>2</v>
      </c>
      <c r="E3" s="141" t="s">
        <v>114</v>
      </c>
      <c r="F3" s="141" t="s">
        <v>115</v>
      </c>
      <c r="G3" s="141" t="s">
        <v>94</v>
      </c>
      <c r="H3" s="142"/>
      <c r="I3" s="142"/>
      <c r="J3" s="14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6</xdr:col>
                    <xdr:colOff>2143125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I21" sqref="I21"/>
    </sheetView>
  </sheetViews>
  <sheetFormatPr defaultRowHeight="16.5" x14ac:dyDescent="0.4"/>
  <cols>
    <col min="1" max="1" width="12.625" style="81" customWidth="1"/>
    <col min="2" max="3" width="8.625" style="81" customWidth="1"/>
    <col min="4" max="4" width="10.625" style="81" customWidth="1"/>
    <col min="5" max="5" width="12.625" style="81" customWidth="1"/>
    <col min="6" max="6" width="9" style="81"/>
    <col min="7" max="7" width="10.375" style="81" customWidth="1"/>
    <col min="8" max="16384" width="9" style="81"/>
  </cols>
  <sheetData>
    <row r="1" spans="1:8" ht="24" x14ac:dyDescent="0.4">
      <c r="A1" s="94" t="s">
        <v>116</v>
      </c>
      <c r="B1" s="82"/>
      <c r="C1" s="82"/>
      <c r="D1" s="82"/>
      <c r="E1" s="82"/>
      <c r="F1" s="82"/>
      <c r="G1" s="82"/>
      <c r="H1" s="82"/>
    </row>
    <row r="2" spans="1:8" ht="57" customHeight="1" x14ac:dyDescent="0.4"/>
    <row r="3" spans="1:8" x14ac:dyDescent="0.4">
      <c r="A3" s="105" t="s">
        <v>117</v>
      </c>
      <c r="B3" s="96"/>
      <c r="D3" s="105" t="s">
        <v>3</v>
      </c>
      <c r="G3" s="97" t="s">
        <v>125</v>
      </c>
      <c r="H3" s="106"/>
    </row>
    <row r="4" spans="1:8" x14ac:dyDescent="0.4">
      <c r="A4" s="105" t="s">
        <v>0</v>
      </c>
      <c r="B4" s="96"/>
      <c r="D4" s="105" t="s">
        <v>123</v>
      </c>
      <c r="G4" s="97" t="s">
        <v>126</v>
      </c>
      <c r="H4" s="106"/>
    </row>
    <row r="5" spans="1:8" x14ac:dyDescent="0.4">
      <c r="A5" s="105" t="s">
        <v>94</v>
      </c>
      <c r="B5" s="96"/>
      <c r="D5" s="105" t="s">
        <v>118</v>
      </c>
    </row>
    <row r="6" spans="1:8" x14ac:dyDescent="0.4">
      <c r="A6" s="105" t="s">
        <v>2</v>
      </c>
      <c r="B6" s="96"/>
      <c r="D6" s="105" t="str">
        <f>IF(E5="内分点","内分比","")</f>
        <v/>
      </c>
    </row>
    <row r="7" spans="1:8" x14ac:dyDescent="0.4">
      <c r="A7" s="105" t="s">
        <v>79</v>
      </c>
      <c r="B7" s="96"/>
      <c r="D7" s="105" t="s">
        <v>114</v>
      </c>
      <c r="E7" s="81" t="s">
        <v>119</v>
      </c>
    </row>
    <row r="10" spans="1:8" s="104" customFormat="1" x14ac:dyDescent="0.4">
      <c r="A10" s="84" t="s">
        <v>87</v>
      </c>
      <c r="B10" s="84" t="s">
        <v>88</v>
      </c>
      <c r="C10" s="84" t="s">
        <v>89</v>
      </c>
      <c r="D10" s="84" t="s">
        <v>120</v>
      </c>
      <c r="E10" s="84" t="s">
        <v>121</v>
      </c>
      <c r="F10" s="84" t="s">
        <v>122</v>
      </c>
      <c r="G10" s="84" t="s">
        <v>124</v>
      </c>
      <c r="H10" s="84"/>
    </row>
    <row r="11" spans="1:8" x14ac:dyDescent="0.4">
      <c r="G11" s="81" t="str">
        <f>IF($E$4="","",IF(F11&gt;=$E$4,"合格",""))</f>
        <v/>
      </c>
    </row>
    <row r="12" spans="1:8" x14ac:dyDescent="0.4">
      <c r="G12" s="81" t="str">
        <f t="shared" ref="G12:G40" si="0">IF($E$4="","",IF(F12&gt;=$E$4,"合格",""))</f>
        <v/>
      </c>
    </row>
    <row r="13" spans="1:8" x14ac:dyDescent="0.4">
      <c r="G13" s="81" t="str">
        <f t="shared" si="0"/>
        <v/>
      </c>
    </row>
    <row r="14" spans="1:8" x14ac:dyDescent="0.4">
      <c r="G14" s="81" t="str">
        <f t="shared" si="0"/>
        <v/>
      </c>
    </row>
    <row r="15" spans="1:8" x14ac:dyDescent="0.4">
      <c r="G15" s="81" t="str">
        <f t="shared" si="0"/>
        <v/>
      </c>
    </row>
    <row r="16" spans="1:8" x14ac:dyDescent="0.4">
      <c r="G16" s="81" t="str">
        <f t="shared" si="0"/>
        <v/>
      </c>
    </row>
    <row r="17" spans="7:7" x14ac:dyDescent="0.4">
      <c r="G17" s="81" t="str">
        <f t="shared" si="0"/>
        <v/>
      </c>
    </row>
    <row r="18" spans="7:7" x14ac:dyDescent="0.4">
      <c r="G18" s="81" t="str">
        <f t="shared" si="0"/>
        <v/>
      </c>
    </row>
    <row r="19" spans="7:7" x14ac:dyDescent="0.4">
      <c r="G19" s="81" t="str">
        <f t="shared" si="0"/>
        <v/>
      </c>
    </row>
    <row r="20" spans="7:7" x14ac:dyDescent="0.4">
      <c r="G20" s="81" t="str">
        <f t="shared" si="0"/>
        <v/>
      </c>
    </row>
    <row r="21" spans="7:7" x14ac:dyDescent="0.4">
      <c r="G21" s="81" t="str">
        <f t="shared" si="0"/>
        <v/>
      </c>
    </row>
    <row r="22" spans="7:7" x14ac:dyDescent="0.4">
      <c r="G22" s="81" t="str">
        <f t="shared" si="0"/>
        <v/>
      </c>
    </row>
    <row r="23" spans="7:7" x14ac:dyDescent="0.4">
      <c r="G23" s="81" t="str">
        <f t="shared" si="0"/>
        <v/>
      </c>
    </row>
    <row r="24" spans="7:7" x14ac:dyDescent="0.4">
      <c r="G24" s="81" t="str">
        <f t="shared" si="0"/>
        <v/>
      </c>
    </row>
    <row r="25" spans="7:7" x14ac:dyDescent="0.4">
      <c r="G25" s="81" t="str">
        <f t="shared" si="0"/>
        <v/>
      </c>
    </row>
    <row r="26" spans="7:7" x14ac:dyDescent="0.4">
      <c r="G26" s="81" t="str">
        <f t="shared" si="0"/>
        <v/>
      </c>
    </row>
    <row r="27" spans="7:7" x14ac:dyDescent="0.4">
      <c r="G27" s="81" t="str">
        <f t="shared" si="0"/>
        <v/>
      </c>
    </row>
    <row r="28" spans="7:7" x14ac:dyDescent="0.4">
      <c r="G28" s="81" t="str">
        <f t="shared" si="0"/>
        <v/>
      </c>
    </row>
    <row r="29" spans="7:7" x14ac:dyDescent="0.4">
      <c r="G29" s="81" t="str">
        <f t="shared" si="0"/>
        <v/>
      </c>
    </row>
    <row r="30" spans="7:7" x14ac:dyDescent="0.4">
      <c r="G30" s="81" t="str">
        <f t="shared" si="0"/>
        <v/>
      </c>
    </row>
    <row r="31" spans="7:7" x14ac:dyDescent="0.4">
      <c r="G31" s="81" t="str">
        <f t="shared" si="0"/>
        <v/>
      </c>
    </row>
    <row r="32" spans="7:7" x14ac:dyDescent="0.4">
      <c r="G32" s="81" t="str">
        <f t="shared" si="0"/>
        <v/>
      </c>
    </row>
    <row r="33" spans="7:7" x14ac:dyDescent="0.4">
      <c r="G33" s="81" t="str">
        <f t="shared" si="0"/>
        <v/>
      </c>
    </row>
    <row r="34" spans="7:7" x14ac:dyDescent="0.4">
      <c r="G34" s="81" t="str">
        <f t="shared" si="0"/>
        <v/>
      </c>
    </row>
    <row r="35" spans="7:7" x14ac:dyDescent="0.4">
      <c r="G35" s="81" t="str">
        <f t="shared" si="0"/>
        <v/>
      </c>
    </row>
    <row r="36" spans="7:7" x14ac:dyDescent="0.4">
      <c r="G36" s="81" t="str">
        <f t="shared" si="0"/>
        <v/>
      </c>
    </row>
    <row r="37" spans="7:7" x14ac:dyDescent="0.4">
      <c r="G37" s="81" t="str">
        <f t="shared" si="0"/>
        <v/>
      </c>
    </row>
    <row r="38" spans="7:7" x14ac:dyDescent="0.4">
      <c r="G38" s="81" t="str">
        <f t="shared" si="0"/>
        <v/>
      </c>
    </row>
    <row r="39" spans="7:7" x14ac:dyDescent="0.4">
      <c r="G39" s="81" t="str">
        <f t="shared" si="0"/>
        <v/>
      </c>
    </row>
    <row r="40" spans="7:7" x14ac:dyDescent="0.4">
      <c r="G40" s="81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MENU</vt:lpstr>
      <vt:lpstr>名簿</vt:lpstr>
      <vt:lpstr>テスト入力</vt:lpstr>
      <vt:lpstr>データ</vt:lpstr>
      <vt:lpstr>Subject</vt:lpstr>
      <vt:lpstr>Result</vt:lpstr>
      <vt:lpstr>比較分析</vt:lpstr>
      <vt:lpstr>Setting</vt:lpstr>
      <vt:lpstr>追試管理メニュー</vt:lpstr>
      <vt:lpstr>追試管理シート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2026-02-17T14:01:40Z</dcterms:modified>
</cp:coreProperties>
</file>