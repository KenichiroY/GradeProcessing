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5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Ex2.xml" ContentType="application/vnd.ms-office.chartex+xml"/>
  <Override PartName="/xl/charts/style3.xml" ContentType="application/vnd.ms-office.chartstyle+xml"/>
  <Override PartName="/xl/charts/colors3.xml" ContentType="application/vnd.ms-office.chartcolorstyle+xml"/>
  <Override PartName="/xl/drawings/drawing6.xml" ContentType="application/vnd.openxmlformats-officedocument.drawing+xml"/>
  <Override PartName="/xl/ctrlProps/ctrlProp12.xml" ContentType="application/vnd.ms-excel.controlproperties+xml"/>
  <Override PartName="/xl/drawings/drawing7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健一郎\仕事\11各種プログラム\GradeProcessing\"/>
    </mc:Choice>
  </mc:AlternateContent>
  <xr:revisionPtr revIDLastSave="0" documentId="13_ncr:1_{9B7EF484-479C-4EB8-83F2-1F6086A221FF}" xr6:coauthVersionLast="47" xr6:coauthVersionMax="47" xr10:uidLastSave="{00000000-0000-0000-0000-000000000000}"/>
  <bookViews>
    <workbookView xWindow="-120" yWindow="-120" windowWidth="29040" windowHeight="15720" tabRatio="816" activeTab="5" xr2:uid="{8E733CE6-1DCE-4443-9959-D37BAACD3B09}"/>
  </bookViews>
  <sheets>
    <sheet name="MENU" sheetId="1" r:id="rId1"/>
    <sheet name="名簿" sheetId="4" r:id="rId2"/>
    <sheet name="テスト入力" sheetId="9" r:id="rId3"/>
    <sheet name="データ" sheetId="10" r:id="rId4"/>
    <sheet name="Subject" sheetId="6" r:id="rId5"/>
    <sheet name="Result" sheetId="8" r:id="rId6"/>
    <sheet name="IndividualAnalysis" sheetId="7" r:id="rId7"/>
    <sheet name="Setting" sheetId="3" r:id="rId8"/>
    <sheet name="追試管理メニュー" sheetId="11" r:id="rId9"/>
    <sheet name="追試管理シート" sheetId="12" r:id="rId10"/>
  </sheets>
  <functionGroups builtInGroupCount="19"/>
  <definedNames>
    <definedName name="_xlnm._FilterDatabase" localSheetId="7" hidden="1">Setting!$A$2:$F$8</definedName>
    <definedName name="_xlnm._FilterDatabase" localSheetId="1" hidden="1">名簿!#REF!</definedName>
    <definedName name="_xlchart.v1.0" hidden="1">IndividualAnalysis!$C$15:$C$54</definedName>
    <definedName name="_xlchart.v1.1" hidden="1">IndividualAnalysis!$D$15:$D$54</definedName>
    <definedName name="_xlchart.v1.2" hidden="1">IndividualAnalysis!$E$15:$E$54</definedName>
    <definedName name="_xlchart.v1.3" hidden="1">IndividualAnalysis!$H$15:$H$54</definedName>
    <definedName name="_xlchart.v1.4" hidden="1">IndividualAnalysis!$I$15:$I$54</definedName>
    <definedName name="_xlchart.v1.5" hidden="1">IndividualAnalysis!$J$14:$J$54</definedName>
    <definedName name="_xlchart.v1.6" hidden="1">IndividualAnalysis!$F$15:$F$54</definedName>
    <definedName name="_xlchart.v1.7" hidden="1">IndividualAnalysis!$K$15:$K$54</definedName>
    <definedName name="_xlnm.Print_Area" localSheetId="4">Subject!$A$1:$J$48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1" i="6" l="1"/>
  <c r="H22" i="6" s="1"/>
  <c r="H20" i="6"/>
  <c r="H19" i="6"/>
  <c r="G21" i="6"/>
  <c r="G22" i="6" s="1"/>
  <c r="G20" i="6"/>
  <c r="G19" i="6"/>
  <c r="F21" i="6"/>
  <c r="F22" i="6" s="1"/>
  <c r="F20" i="6"/>
  <c r="F19" i="6"/>
  <c r="E21" i="6"/>
  <c r="E22" i="6" s="1"/>
  <c r="E20" i="6"/>
  <c r="E19" i="6"/>
  <c r="D21" i="6"/>
  <c r="D22" i="6" s="1"/>
  <c r="D20" i="6"/>
  <c r="D19" i="6"/>
  <c r="AE21" i="10"/>
  <c r="AE22" i="10" s="1"/>
  <c r="AE20" i="10"/>
  <c r="AE19" i="10"/>
  <c r="AD21" i="10"/>
  <c r="AD22" i="10" s="1"/>
  <c r="AD20" i="10"/>
  <c r="AD19" i="10"/>
  <c r="G12" i="12"/>
  <c r="G13" i="12"/>
  <c r="G14" i="12"/>
  <c r="G15" i="12"/>
  <c r="G16" i="12"/>
  <c r="G17" i="12"/>
  <c r="G18" i="12"/>
  <c r="G19" i="12"/>
  <c r="G20" i="12"/>
  <c r="G21" i="12"/>
  <c r="G22" i="12"/>
  <c r="G23" i="12"/>
  <c r="G24" i="12"/>
  <c r="G25" i="12"/>
  <c r="G26" i="12"/>
  <c r="G27" i="12"/>
  <c r="G28" i="12"/>
  <c r="G29" i="12"/>
  <c r="G30" i="12"/>
  <c r="G31" i="12"/>
  <c r="G32" i="12"/>
  <c r="G33" i="12"/>
  <c r="G34" i="12"/>
  <c r="G35" i="12"/>
  <c r="G36" i="12"/>
  <c r="G37" i="12"/>
  <c r="G38" i="12"/>
  <c r="G39" i="12"/>
  <c r="G40" i="12"/>
  <c r="G11" i="12"/>
  <c r="AC21" i="10"/>
  <c r="AC22" i="10" s="1"/>
  <c r="AC20" i="10"/>
  <c r="AC19" i="10"/>
  <c r="D6" i="12"/>
  <c r="AB21" i="10"/>
  <c r="AB20" i="10"/>
  <c r="AB19" i="10"/>
  <c r="AA21" i="10"/>
  <c r="AA22" i="10" s="1"/>
  <c r="AA20" i="10"/>
  <c r="AA19" i="10"/>
  <c r="Z21" i="10"/>
  <c r="Z22" i="10" s="1"/>
  <c r="Z20" i="10"/>
  <c r="Z19" i="10"/>
  <c r="Y21" i="10"/>
  <c r="Y22" i="10" s="1"/>
  <c r="Y20" i="10"/>
  <c r="Y19" i="10"/>
  <c r="X21" i="10"/>
  <c r="X22" i="10" s="1"/>
  <c r="X20" i="10"/>
  <c r="X19" i="10"/>
  <c r="W21" i="10"/>
  <c r="W20" i="10"/>
  <c r="W19" i="10"/>
  <c r="V21" i="10"/>
  <c r="V22" i="10" s="1"/>
  <c r="V20" i="10"/>
  <c r="V19" i="10"/>
  <c r="U21" i="10"/>
  <c r="U22" i="10" s="1"/>
  <c r="U20" i="10"/>
  <c r="U19" i="10"/>
  <c r="T21" i="10"/>
  <c r="T22" i="10" s="1"/>
  <c r="T20" i="10"/>
  <c r="T19" i="10"/>
  <c r="S21" i="10"/>
  <c r="S22" i="10" s="1"/>
  <c r="S20" i="10"/>
  <c r="S19" i="10"/>
  <c r="R21" i="10"/>
  <c r="R22" i="10" s="1"/>
  <c r="R20" i="10"/>
  <c r="R19" i="10"/>
  <c r="Q21" i="10"/>
  <c r="Q22" i="10" s="1"/>
  <c r="Q20" i="10"/>
  <c r="Q19" i="10"/>
  <c r="P21" i="10"/>
  <c r="P22" i="10" s="1"/>
  <c r="P20" i="10"/>
  <c r="P19" i="10"/>
  <c r="X17" i="10"/>
  <c r="AE17" i="10"/>
  <c r="AD17" i="10"/>
  <c r="V17" i="10"/>
  <c r="T17" i="10"/>
  <c r="AB17" i="10"/>
  <c r="U17" i="10"/>
  <c r="S17" i="10"/>
  <c r="AA17" i="10"/>
  <c r="AC17" i="10"/>
  <c r="D17" i="6"/>
  <c r="Z17" i="10"/>
  <c r="F17" i="6"/>
  <c r="H17" i="6"/>
  <c r="G17" i="6"/>
  <c r="E17" i="6"/>
  <c r="P17" i="10"/>
  <c r="Y17" i="10"/>
  <c r="W17" i="10"/>
  <c r="R17" i="10"/>
  <c r="Q17" i="10"/>
  <c r="AB22" i="10" l="1"/>
  <c r="W22" i="10"/>
  <c r="A12" i="8"/>
  <c r="A13" i="8"/>
  <c r="A14" i="8"/>
  <c r="A15" i="8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11" i="8"/>
  <c r="B12" i="8"/>
  <c r="C12" i="8"/>
  <c r="B13" i="8"/>
  <c r="C13" i="8"/>
  <c r="B14" i="8"/>
  <c r="C14" i="8"/>
  <c r="B15" i="8"/>
  <c r="C15" i="8"/>
  <c r="B16" i="8"/>
  <c r="C16" i="8"/>
  <c r="B17" i="8"/>
  <c r="C17" i="8"/>
  <c r="B18" i="8"/>
  <c r="C18" i="8"/>
  <c r="B19" i="8"/>
  <c r="C19" i="8"/>
  <c r="B20" i="8"/>
  <c r="C20" i="8"/>
  <c r="B21" i="8"/>
  <c r="C21" i="8"/>
  <c r="B22" i="8"/>
  <c r="C22" i="8"/>
  <c r="B23" i="8"/>
  <c r="C23" i="8"/>
  <c r="B24" i="8"/>
  <c r="C24" i="8"/>
  <c r="B25" i="8"/>
  <c r="C25" i="8"/>
  <c r="B26" i="8"/>
  <c r="C26" i="8"/>
  <c r="B27" i="8"/>
  <c r="C27" i="8"/>
  <c r="B28" i="8"/>
  <c r="C28" i="8"/>
  <c r="B29" i="8"/>
  <c r="C29" i="8"/>
  <c r="B30" i="8"/>
  <c r="C30" i="8"/>
  <c r="B31" i="8"/>
  <c r="C31" i="8"/>
  <c r="B32" i="8"/>
  <c r="C32" i="8"/>
  <c r="B33" i="8"/>
  <c r="C33" i="8"/>
  <c r="B34" i="8"/>
  <c r="C34" i="8"/>
  <c r="B35" i="8"/>
  <c r="C35" i="8"/>
  <c r="B36" i="8"/>
  <c r="C36" i="8"/>
  <c r="B37" i="8"/>
  <c r="C37" i="8"/>
  <c r="B38" i="8"/>
  <c r="C38" i="8"/>
  <c r="B39" i="8"/>
  <c r="C39" i="8"/>
  <c r="B40" i="8"/>
  <c r="C40" i="8"/>
  <c r="B41" i="8"/>
  <c r="C41" i="8"/>
  <c r="B42" i="8"/>
  <c r="C42" i="8"/>
  <c r="B43" i="8"/>
  <c r="C43" i="8"/>
  <c r="B44" i="8"/>
  <c r="C44" i="8"/>
  <c r="B45" i="8"/>
  <c r="C45" i="8"/>
  <c r="B46" i="8"/>
  <c r="C46" i="8"/>
  <c r="B47" i="8"/>
  <c r="C47" i="8"/>
  <c r="B48" i="8"/>
  <c r="C48" i="8"/>
  <c r="B49" i="8"/>
  <c r="C49" i="8"/>
  <c r="B50" i="8"/>
  <c r="C50" i="8"/>
  <c r="C11" i="8"/>
  <c r="B11" i="8"/>
  <c r="O21" i="10"/>
  <c r="O22" i="10" s="1"/>
  <c r="O20" i="10"/>
  <c r="O19" i="10"/>
  <c r="N21" i="10"/>
  <c r="N22" i="10" s="1"/>
  <c r="N20" i="10"/>
  <c r="N19" i="10"/>
  <c r="M21" i="10"/>
  <c r="M22" i="10" s="1"/>
  <c r="M20" i="10"/>
  <c r="M19" i="10"/>
  <c r="L21" i="10"/>
  <c r="L22" i="10" s="1"/>
  <c r="L20" i="10"/>
  <c r="L19" i="10"/>
  <c r="K21" i="10"/>
  <c r="K20" i="10"/>
  <c r="K19" i="10"/>
  <c r="J21" i="10"/>
  <c r="J20" i="10"/>
  <c r="J19" i="10"/>
  <c r="I21" i="10"/>
  <c r="I20" i="10"/>
  <c r="I19" i="10"/>
  <c r="H21" i="10"/>
  <c r="H20" i="10"/>
  <c r="H19" i="10"/>
  <c r="G21" i="10"/>
  <c r="G20" i="10"/>
  <c r="G19" i="10"/>
  <c r="F21" i="10"/>
  <c r="F20" i="10"/>
  <c r="F19" i="10"/>
  <c r="E21" i="10"/>
  <c r="E20" i="10"/>
  <c r="E19" i="10"/>
  <c r="D21" i="10"/>
  <c r="D20" i="10"/>
  <c r="D19" i="10"/>
  <c r="A24" i="10"/>
  <c r="A25" i="10"/>
  <c r="A26" i="10"/>
  <c r="A27" i="10"/>
  <c r="A28" i="10"/>
  <c r="A29" i="10"/>
  <c r="A30" i="10"/>
  <c r="A31" i="10"/>
  <c r="A32" i="10"/>
  <c r="A33" i="10"/>
  <c r="A34" i="10"/>
  <c r="A35" i="10"/>
  <c r="A36" i="10"/>
  <c r="A37" i="10"/>
  <c r="A38" i="10"/>
  <c r="A39" i="10"/>
  <c r="A40" i="10"/>
  <c r="A41" i="10"/>
  <c r="A42" i="10"/>
  <c r="A43" i="10"/>
  <c r="A44" i="10"/>
  <c r="A45" i="10"/>
  <c r="A46" i="10"/>
  <c r="A47" i="10"/>
  <c r="A48" i="10"/>
  <c r="A49" i="10"/>
  <c r="A50" i="10"/>
  <c r="A51" i="10"/>
  <c r="A52" i="10"/>
  <c r="A53" i="10"/>
  <c r="A54" i="10"/>
  <c r="A55" i="10"/>
  <c r="A56" i="10"/>
  <c r="A57" i="10"/>
  <c r="A58" i="10"/>
  <c r="A59" i="10"/>
  <c r="A60" i="10"/>
  <c r="A61" i="10"/>
  <c r="A62" i="10"/>
  <c r="A23" i="10"/>
  <c r="B24" i="10"/>
  <c r="C24" i="10"/>
  <c r="B25" i="10"/>
  <c r="C25" i="10"/>
  <c r="B26" i="10"/>
  <c r="C26" i="10"/>
  <c r="B27" i="10"/>
  <c r="C27" i="10"/>
  <c r="B28" i="10"/>
  <c r="C28" i="10"/>
  <c r="B29" i="10"/>
  <c r="C29" i="10"/>
  <c r="B30" i="10"/>
  <c r="C30" i="10"/>
  <c r="B31" i="10"/>
  <c r="C31" i="10"/>
  <c r="B32" i="10"/>
  <c r="C32" i="10"/>
  <c r="B33" i="10"/>
  <c r="C33" i="10"/>
  <c r="B34" i="10"/>
  <c r="C34" i="10"/>
  <c r="B35" i="10"/>
  <c r="C35" i="10"/>
  <c r="B36" i="10"/>
  <c r="C36" i="10"/>
  <c r="B37" i="10"/>
  <c r="C37" i="10"/>
  <c r="B38" i="10"/>
  <c r="C38" i="10"/>
  <c r="B39" i="10"/>
  <c r="C39" i="10"/>
  <c r="B40" i="10"/>
  <c r="C40" i="10"/>
  <c r="B41" i="10"/>
  <c r="C41" i="10"/>
  <c r="B42" i="10"/>
  <c r="C42" i="10"/>
  <c r="B43" i="10"/>
  <c r="C43" i="10"/>
  <c r="B44" i="10"/>
  <c r="C44" i="10"/>
  <c r="B45" i="10"/>
  <c r="C45" i="10"/>
  <c r="B46" i="10"/>
  <c r="C46" i="10"/>
  <c r="B47" i="10"/>
  <c r="C47" i="10"/>
  <c r="B48" i="10"/>
  <c r="C48" i="10"/>
  <c r="B49" i="10"/>
  <c r="C49" i="10"/>
  <c r="B50" i="10"/>
  <c r="C50" i="10"/>
  <c r="B51" i="10"/>
  <c r="C51" i="10"/>
  <c r="B52" i="10"/>
  <c r="C52" i="10"/>
  <c r="B53" i="10"/>
  <c r="C53" i="10"/>
  <c r="B54" i="10"/>
  <c r="C54" i="10"/>
  <c r="B55" i="10"/>
  <c r="C55" i="10"/>
  <c r="B56" i="10"/>
  <c r="C56" i="10"/>
  <c r="B57" i="10"/>
  <c r="C57" i="10"/>
  <c r="B58" i="10"/>
  <c r="C58" i="10"/>
  <c r="B59" i="10"/>
  <c r="C59" i="10"/>
  <c r="B60" i="10"/>
  <c r="C60" i="10"/>
  <c r="B61" i="10"/>
  <c r="C61" i="10"/>
  <c r="B62" i="10"/>
  <c r="C62" i="10"/>
  <c r="C23" i="10"/>
  <c r="B23" i="10"/>
  <c r="B52" i="9"/>
  <c r="B51" i="9"/>
  <c r="B50" i="9"/>
  <c r="B49" i="9"/>
  <c r="B48" i="9"/>
  <c r="B47" i="9"/>
  <c r="B46" i="9"/>
  <c r="B45" i="9"/>
  <c r="B44" i="9"/>
  <c r="B43" i="9"/>
  <c r="B42" i="9"/>
  <c r="B41" i="9"/>
  <c r="B40" i="9"/>
  <c r="B39" i="9"/>
  <c r="B38" i="9"/>
  <c r="B37" i="9"/>
  <c r="B36" i="9"/>
  <c r="B35" i="9"/>
  <c r="B34" i="9"/>
  <c r="B33" i="9"/>
  <c r="B32" i="9"/>
  <c r="B31" i="9"/>
  <c r="B69" i="9"/>
  <c r="B53" i="9"/>
  <c r="B54" i="9"/>
  <c r="B55" i="9"/>
  <c r="B56" i="9"/>
  <c r="B57" i="9"/>
  <c r="B58" i="9"/>
  <c r="B59" i="9"/>
  <c r="B60" i="9"/>
  <c r="B61" i="9"/>
  <c r="B62" i="9"/>
  <c r="B63" i="9"/>
  <c r="B64" i="9"/>
  <c r="B65" i="9"/>
  <c r="B66" i="9"/>
  <c r="B67" i="9"/>
  <c r="B68" i="9"/>
  <c r="B70" i="9"/>
  <c r="B24" i="6"/>
  <c r="C24" i="6"/>
  <c r="B25" i="6"/>
  <c r="C25" i="6"/>
  <c r="B26" i="6"/>
  <c r="C26" i="6"/>
  <c r="B27" i="6"/>
  <c r="C27" i="6"/>
  <c r="B28" i="6"/>
  <c r="C28" i="6"/>
  <c r="B29" i="6"/>
  <c r="C29" i="6"/>
  <c r="B30" i="6"/>
  <c r="C30" i="6"/>
  <c r="B31" i="6"/>
  <c r="C31" i="6"/>
  <c r="B32" i="6"/>
  <c r="C32" i="6"/>
  <c r="B33" i="6"/>
  <c r="C33" i="6"/>
  <c r="B34" i="6"/>
  <c r="C34" i="6"/>
  <c r="B35" i="6"/>
  <c r="C35" i="6"/>
  <c r="B36" i="6"/>
  <c r="C36" i="6"/>
  <c r="B37" i="6"/>
  <c r="C37" i="6"/>
  <c r="B38" i="6"/>
  <c r="C38" i="6"/>
  <c r="B39" i="6"/>
  <c r="C39" i="6"/>
  <c r="B40" i="6"/>
  <c r="C40" i="6"/>
  <c r="B41" i="6"/>
  <c r="C41" i="6"/>
  <c r="B42" i="6"/>
  <c r="C42" i="6"/>
  <c r="B43" i="6"/>
  <c r="C43" i="6"/>
  <c r="B44" i="6"/>
  <c r="C44" i="6"/>
  <c r="B45" i="6"/>
  <c r="C45" i="6"/>
  <c r="B46" i="6"/>
  <c r="C46" i="6"/>
  <c r="B47" i="6"/>
  <c r="C47" i="6"/>
  <c r="B48" i="6"/>
  <c r="C48" i="6"/>
  <c r="B49" i="6"/>
  <c r="C49" i="6"/>
  <c r="B50" i="6"/>
  <c r="C50" i="6"/>
  <c r="B51" i="6"/>
  <c r="C51" i="6"/>
  <c r="B52" i="6"/>
  <c r="C52" i="6"/>
  <c r="B53" i="6"/>
  <c r="C53" i="6"/>
  <c r="B54" i="6"/>
  <c r="C54" i="6"/>
  <c r="B55" i="6"/>
  <c r="C55" i="6"/>
  <c r="B56" i="6"/>
  <c r="C56" i="6"/>
  <c r="B57" i="6"/>
  <c r="C57" i="6"/>
  <c r="B58" i="6"/>
  <c r="C58" i="6"/>
  <c r="B59" i="6"/>
  <c r="C59" i="6"/>
  <c r="B60" i="6"/>
  <c r="C60" i="6"/>
  <c r="B61" i="6"/>
  <c r="C61" i="6"/>
  <c r="B62" i="6"/>
  <c r="C62" i="6"/>
  <c r="C23" i="6"/>
  <c r="B23" i="6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C55" i="9"/>
  <c r="C56" i="9"/>
  <c r="C57" i="9"/>
  <c r="C58" i="9"/>
  <c r="C59" i="9"/>
  <c r="C60" i="9"/>
  <c r="C61" i="9"/>
  <c r="C62" i="9"/>
  <c r="C63" i="9"/>
  <c r="C64" i="9"/>
  <c r="C65" i="9"/>
  <c r="C66" i="9"/>
  <c r="C67" i="9"/>
  <c r="C68" i="9"/>
  <c r="C69" i="9"/>
  <c r="C70" i="9"/>
  <c r="C31" i="9"/>
  <c r="O17" i="10"/>
  <c r="M17" i="10"/>
  <c r="N17" i="10"/>
  <c r="I17" i="10"/>
  <c r="J17" i="10"/>
  <c r="K17" i="10"/>
  <c r="H17" i="10"/>
  <c r="G17" i="10"/>
  <c r="L17" i="10"/>
  <c r="E17" i="10"/>
  <c r="F17" i="10"/>
  <c r="D17" i="10"/>
  <c r="K22" i="10" l="1"/>
  <c r="J22" i="10"/>
  <c r="I22" i="10"/>
  <c r="H22" i="10"/>
  <c r="G22" i="10"/>
  <c r="F22" i="10"/>
  <c r="E22" i="10"/>
  <c r="D22" i="10"/>
  <c r="F24" i="9" a="1"/>
  <c r="F24" i="9" s="1"/>
  <c r="G24" i="9" a="1"/>
  <c r="G24" i="9" s="1"/>
  <c r="E8" i="4"/>
  <c r="N14" i="9"/>
  <c r="N16" i="9"/>
  <c r="E24" i="9" a="1"/>
  <c r="D24" i="9" a="1"/>
  <c r="E24" i="9" l="1"/>
  <c r="D24" i="9"/>
  <c r="N12" i="9"/>
  <c r="N18" i="9" s="1"/>
  <c r="K16" i="7" l="1"/>
  <c r="K14" i="7"/>
  <c r="F14" i="7"/>
  <c r="K17" i="7"/>
  <c r="K18" i="7"/>
  <c r="K19" i="7"/>
  <c r="K20" i="7"/>
  <c r="K21" i="7"/>
  <c r="K22" i="7"/>
  <c r="K23" i="7"/>
  <c r="K24" i="7"/>
  <c r="K25" i="7"/>
  <c r="K26" i="7"/>
  <c r="K27" i="7"/>
  <c r="K28" i="7"/>
  <c r="K29" i="7"/>
  <c r="K30" i="7"/>
  <c r="K31" i="7"/>
  <c r="K32" i="7"/>
  <c r="K33" i="7"/>
  <c r="K34" i="7"/>
  <c r="K35" i="7"/>
  <c r="K36" i="7"/>
  <c r="K37" i="7"/>
  <c r="K38" i="7"/>
  <c r="K39" i="7"/>
  <c r="K40" i="7"/>
  <c r="K41" i="7"/>
  <c r="K42" i="7"/>
  <c r="K43" i="7"/>
  <c r="K44" i="7"/>
  <c r="K45" i="7"/>
  <c r="K46" i="7"/>
  <c r="K47" i="7"/>
  <c r="K48" i="7"/>
  <c r="K49" i="7"/>
  <c r="K50" i="7"/>
  <c r="K51" i="7"/>
  <c r="K52" i="7"/>
  <c r="K53" i="7"/>
  <c r="K54" i="7"/>
  <c r="K15" i="7"/>
  <c r="F16" i="7"/>
  <c r="F17" i="7"/>
  <c r="F18" i="7"/>
  <c r="F19" i="7"/>
  <c r="F20" i="7"/>
  <c r="F21" i="7"/>
  <c r="F22" i="7"/>
  <c r="F23" i="7"/>
  <c r="F24" i="7"/>
  <c r="F25" i="7"/>
  <c r="F26" i="7"/>
  <c r="F27" i="7"/>
  <c r="F28" i="7"/>
  <c r="F29" i="7"/>
  <c r="F30" i="7"/>
  <c r="F31" i="7"/>
  <c r="F32" i="7"/>
  <c r="F33" i="7"/>
  <c r="F34" i="7"/>
  <c r="F35" i="7"/>
  <c r="F36" i="7"/>
  <c r="F37" i="7"/>
  <c r="F38" i="7"/>
  <c r="F39" i="7"/>
  <c r="F40" i="7"/>
  <c r="F41" i="7"/>
  <c r="F42" i="7"/>
  <c r="F43" i="7"/>
  <c r="F44" i="7"/>
  <c r="F45" i="7"/>
  <c r="F46" i="7"/>
  <c r="F47" i="7"/>
  <c r="F48" i="7"/>
  <c r="F49" i="7"/>
  <c r="F50" i="7"/>
  <c r="F51" i="7"/>
  <c r="F52" i="7"/>
  <c r="F53" i="7"/>
  <c r="F54" i="7"/>
  <c r="M54" i="7" s="1"/>
  <c r="F15" i="7"/>
  <c r="B23" i="7"/>
  <c r="B29" i="7"/>
  <c r="B33" i="7"/>
  <c r="B39" i="7"/>
  <c r="B43" i="7"/>
  <c r="B49" i="7"/>
  <c r="B53" i="7"/>
  <c r="E5" i="3"/>
  <c r="E6" i="3"/>
  <c r="E4" i="3"/>
  <c r="M40" i="7" l="1"/>
  <c r="M34" i="7"/>
  <c r="B19" i="7"/>
  <c r="B54" i="7"/>
  <c r="B52" i="7"/>
  <c r="B48" i="7"/>
  <c r="B46" i="7"/>
  <c r="B44" i="7"/>
  <c r="B42" i="7"/>
  <c r="B38" i="7"/>
  <c r="B36" i="7"/>
  <c r="B34" i="7"/>
  <c r="B32" i="7"/>
  <c r="B28" i="7"/>
  <c r="B26" i="7"/>
  <c r="B22" i="7"/>
  <c r="B18" i="7"/>
  <c r="B16" i="7"/>
  <c r="M35" i="7"/>
  <c r="M36" i="7"/>
  <c r="B47" i="7"/>
  <c r="B37" i="7"/>
  <c r="B27" i="7"/>
  <c r="B17" i="7"/>
  <c r="B50" i="7"/>
  <c r="B15" i="7"/>
  <c r="B45" i="7"/>
  <c r="B35" i="7"/>
  <c r="B25" i="7"/>
  <c r="B24" i="7"/>
  <c r="B51" i="7"/>
  <c r="B41" i="7"/>
  <c r="B31" i="7"/>
  <c r="B21" i="7"/>
  <c r="B40" i="7"/>
  <c r="B30" i="7"/>
  <c r="B20" i="7"/>
  <c r="M19" i="7"/>
  <c r="M21" i="7"/>
  <c r="N1" i="7"/>
  <c r="N2" i="7"/>
  <c r="M39" i="7"/>
  <c r="M17" i="7"/>
  <c r="N6" i="7"/>
  <c r="Q3" i="7" s="1"/>
  <c r="M47" i="7"/>
  <c r="M50" i="7"/>
  <c r="M43" i="7"/>
  <c r="M38" i="7"/>
  <c r="M18" i="7"/>
  <c r="M31" i="7"/>
  <c r="M23" i="7"/>
  <c r="M51" i="7"/>
  <c r="M27" i="7"/>
  <c r="M52" i="7"/>
  <c r="M42" i="7"/>
  <c r="M33" i="7"/>
  <c r="M32" i="7"/>
  <c r="M30" i="7"/>
  <c r="M26" i="7"/>
  <c r="M25" i="7"/>
  <c r="M53" i="7"/>
  <c r="M48" i="7"/>
  <c r="M46" i="7"/>
  <c r="M41" i="7"/>
  <c r="M49" i="7"/>
  <c r="M15" i="7"/>
  <c r="M29" i="7"/>
  <c r="M28" i="7"/>
  <c r="M24" i="7"/>
  <c r="M22" i="7"/>
  <c r="M16" i="7"/>
  <c r="M45" i="7"/>
  <c r="M44" i="7"/>
  <c r="M20" i="7"/>
  <c r="M37" i="7"/>
  <c r="D3" i="7"/>
  <c r="D4" i="7"/>
  <c r="I4" i="7"/>
  <c r="F2" i="7"/>
  <c r="F3" i="7"/>
  <c r="F4" i="7"/>
  <c r="D2" i="7" s="1"/>
  <c r="F5" i="7"/>
  <c r="F6" i="7"/>
  <c r="K2" i="7"/>
  <c r="K3" i="7"/>
  <c r="K4" i="7"/>
  <c r="I2" i="7" s="1"/>
  <c r="K5" i="7"/>
  <c r="K6" i="7"/>
  <c r="I3" i="7"/>
  <c r="N4" i="7" l="1"/>
  <c r="M55" i="7"/>
  <c r="N3" i="7"/>
  <c r="M56" i="7"/>
  <c r="L52" i="7"/>
  <c r="Q2" i="7"/>
  <c r="L40" i="7"/>
  <c r="L16" i="7"/>
  <c r="L50" i="7"/>
  <c r="L38" i="7"/>
  <c r="L22" i="7"/>
  <c r="L17" i="7"/>
  <c r="L48" i="7"/>
  <c r="L37" i="7"/>
  <c r="L18" i="7"/>
  <c r="G14" i="7"/>
  <c r="L15" i="7"/>
  <c r="L53" i="7"/>
  <c r="L33" i="7"/>
  <c r="L34" i="7"/>
  <c r="L54" i="7"/>
  <c r="L21" i="7"/>
  <c r="L36" i="7"/>
  <c r="L25" i="7"/>
  <c r="L39" i="7"/>
  <c r="L27" i="7"/>
  <c r="L28" i="7"/>
  <c r="L43" i="7"/>
  <c r="L44" i="7"/>
  <c r="L30" i="7"/>
  <c r="L19" i="7"/>
  <c r="L49" i="7"/>
  <c r="L23" i="7"/>
  <c r="L26" i="7"/>
  <c r="L41" i="7"/>
  <c r="L42" i="7"/>
  <c r="L29" i="7"/>
  <c r="L45" i="7"/>
  <c r="L31" i="7"/>
  <c r="L46" i="7"/>
  <c r="L14" i="7"/>
  <c r="L20" i="7"/>
  <c r="L35" i="7"/>
  <c r="L51" i="7"/>
  <c r="L24" i="7"/>
  <c r="L47" i="7"/>
  <c r="L32" i="7"/>
  <c r="I5" i="7"/>
  <c r="D5" i="7"/>
  <c r="G16" i="7"/>
  <c r="G36" i="7"/>
  <c r="G40" i="7"/>
  <c r="G27" i="7"/>
  <c r="G32" i="7"/>
  <c r="G35" i="7"/>
  <c r="G17" i="7"/>
  <c r="G37" i="7"/>
  <c r="G20" i="7"/>
  <c r="G23" i="7"/>
  <c r="G25" i="7"/>
  <c r="G46" i="7"/>
  <c r="G29" i="7"/>
  <c r="G50" i="7"/>
  <c r="G31" i="7"/>
  <c r="G33" i="7"/>
  <c r="G54" i="7"/>
  <c r="G18" i="7"/>
  <c r="G38" i="7"/>
  <c r="G24" i="7"/>
  <c r="G45" i="7"/>
  <c r="G48" i="7"/>
  <c r="G30" i="7"/>
  <c r="G51" i="7"/>
  <c r="G52" i="7"/>
  <c r="G53" i="7"/>
  <c r="G19" i="7"/>
  <c r="G39" i="7"/>
  <c r="G43" i="7"/>
  <c r="G44" i="7"/>
  <c r="G26" i="7"/>
  <c r="G47" i="7"/>
  <c r="G28" i="7"/>
  <c r="G49" i="7"/>
  <c r="G34" i="7"/>
  <c r="G15" i="7"/>
  <c r="G21" i="7"/>
  <c r="G41" i="7"/>
  <c r="G22" i="7"/>
  <c r="G42" i="7"/>
  <c r="N5" i="7" l="1"/>
  <c r="O6" i="7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<sst xmlns="http://schemas.openxmlformats.org/spreadsheetml/2006/main" count="952" uniqueCount="251">
  <si>
    <t>教科</t>
    <rPh sb="0" eb="2">
      <t>キョウカ</t>
    </rPh>
    <phoneticPr fontId="1"/>
  </si>
  <si>
    <t>単元名</t>
    <rPh sb="0" eb="3">
      <t>タンゲンメイ</t>
    </rPh>
    <phoneticPr fontId="1"/>
  </si>
  <si>
    <t>観点</t>
    <rPh sb="0" eb="2">
      <t>カンテン</t>
    </rPh>
    <phoneticPr fontId="1"/>
  </si>
  <si>
    <t>配点</t>
    <rPh sb="0" eb="2">
      <t>ハイテン</t>
    </rPh>
    <phoneticPr fontId="1"/>
  </si>
  <si>
    <t>実施日</t>
    <rPh sb="0" eb="3">
      <t>ジッシビ</t>
    </rPh>
    <phoneticPr fontId="1"/>
  </si>
  <si>
    <t>学期</t>
    <rPh sb="0" eb="2">
      <t>ガッキ</t>
    </rPh>
    <phoneticPr fontId="1"/>
  </si>
  <si>
    <t>国語</t>
    <rPh sb="0" eb="2">
      <t>コクゴ</t>
    </rPh>
    <phoneticPr fontId="1"/>
  </si>
  <si>
    <t>算数</t>
    <rPh sb="0" eb="2">
      <t>サンスウ</t>
    </rPh>
    <phoneticPr fontId="1"/>
  </si>
  <si>
    <t>社会</t>
    <rPh sb="0" eb="2">
      <t>シャカイ</t>
    </rPh>
    <phoneticPr fontId="1"/>
  </si>
  <si>
    <t>理科</t>
    <rPh sb="0" eb="2">
      <t>リカ</t>
    </rPh>
    <phoneticPr fontId="1"/>
  </si>
  <si>
    <t>キー</t>
    <phoneticPr fontId="1"/>
  </si>
  <si>
    <t>平均点</t>
    <rPh sb="0" eb="3">
      <t>ヘイキンテン</t>
    </rPh>
    <phoneticPr fontId="1"/>
  </si>
  <si>
    <t>中央値</t>
    <rPh sb="0" eb="3">
      <t>チュウオウチ</t>
    </rPh>
    <phoneticPr fontId="1"/>
  </si>
  <si>
    <t>標準偏差</t>
    <rPh sb="0" eb="4">
      <t>ヒョウジュンヘンサ</t>
    </rPh>
    <phoneticPr fontId="1"/>
  </si>
  <si>
    <t>教科文字</t>
    <rPh sb="0" eb="2">
      <t>キョウカ</t>
    </rPh>
    <rPh sb="2" eb="4">
      <t>モジ</t>
    </rPh>
    <phoneticPr fontId="1"/>
  </si>
  <si>
    <t>J</t>
    <phoneticPr fontId="1"/>
  </si>
  <si>
    <t>S</t>
    <phoneticPr fontId="1"/>
  </si>
  <si>
    <t>M</t>
    <phoneticPr fontId="1"/>
  </si>
  <si>
    <t>R</t>
    <phoneticPr fontId="1"/>
  </si>
  <si>
    <t>体育</t>
    <rPh sb="0" eb="2">
      <t>タイイク</t>
    </rPh>
    <phoneticPr fontId="1"/>
  </si>
  <si>
    <t>英語</t>
    <rPh sb="0" eb="2">
      <t>エイゴ</t>
    </rPh>
    <phoneticPr fontId="1"/>
  </si>
  <si>
    <t>P</t>
    <phoneticPr fontId="1"/>
  </si>
  <si>
    <t>E</t>
    <phoneticPr fontId="1"/>
  </si>
  <si>
    <t>変動係数</t>
    <rPh sb="0" eb="4">
      <t>ヘンドウケイスウ</t>
    </rPh>
    <phoneticPr fontId="1"/>
  </si>
  <si>
    <t>前後期</t>
  </si>
  <si>
    <t>主体的</t>
    <rPh sb="0" eb="3">
      <t>シュタイテキ</t>
    </rPh>
    <phoneticPr fontId="1"/>
  </si>
  <si>
    <t>思判表</t>
  </si>
  <si>
    <t>知技</t>
    <rPh sb="0" eb="1">
      <t>チ</t>
    </rPh>
    <rPh sb="1" eb="2">
      <t>ワザ</t>
    </rPh>
    <phoneticPr fontId="1"/>
  </si>
  <si>
    <t>キー最終値</t>
    <rPh sb="2" eb="4">
      <t>サイシュウ</t>
    </rPh>
    <rPh sb="4" eb="5">
      <t>チ</t>
    </rPh>
    <phoneticPr fontId="1"/>
  </si>
  <si>
    <t>国語</t>
  </si>
  <si>
    <t>知技</t>
  </si>
  <si>
    <t>+α</t>
    <phoneticPr fontId="1"/>
  </si>
  <si>
    <t>J006</t>
  </si>
  <si>
    <t>J007</t>
  </si>
  <si>
    <t>各教科取り出し</t>
    <rPh sb="0" eb="3">
      <t>カクキョウカ</t>
    </rPh>
    <rPh sb="3" eb="4">
      <t>ト</t>
    </rPh>
    <rPh sb="5" eb="6">
      <t>ダ</t>
    </rPh>
    <phoneticPr fontId="1"/>
  </si>
  <si>
    <t>テスト個別分析</t>
    <rPh sb="3" eb="5">
      <t>コベツ</t>
    </rPh>
    <rPh sb="5" eb="7">
      <t>ブンセキ</t>
    </rPh>
    <phoneticPr fontId="1"/>
  </si>
  <si>
    <t>最高点</t>
    <rPh sb="0" eb="3">
      <t>サイコウテン</t>
    </rPh>
    <phoneticPr fontId="1"/>
  </si>
  <si>
    <t>最低点</t>
    <rPh sb="0" eb="3">
      <t>サイテイテン</t>
    </rPh>
    <phoneticPr fontId="1"/>
  </si>
  <si>
    <t>キー</t>
  </si>
  <si>
    <t>Q1</t>
    <phoneticPr fontId="1"/>
  </si>
  <si>
    <t>Q2</t>
    <phoneticPr fontId="1"/>
  </si>
  <si>
    <t>Q3</t>
    <phoneticPr fontId="1"/>
  </si>
  <si>
    <t>テスト１</t>
    <phoneticPr fontId="1"/>
  </si>
  <si>
    <t>①計</t>
    <rPh sb="1" eb="2">
      <t>ケイ</t>
    </rPh>
    <phoneticPr fontId="1"/>
  </si>
  <si>
    <t>②計</t>
    <rPh sb="1" eb="2">
      <t>ケイ</t>
    </rPh>
    <phoneticPr fontId="1"/>
  </si>
  <si>
    <t>偏差値</t>
    <rPh sb="0" eb="3">
      <t>ヘンサチ</t>
    </rPh>
    <phoneticPr fontId="1"/>
  </si>
  <si>
    <t>テスト２</t>
    <phoneticPr fontId="1"/>
  </si>
  <si>
    <t>テスト①</t>
    <phoneticPr fontId="1"/>
  </si>
  <si>
    <t>テスト②</t>
    <phoneticPr fontId="1"/>
  </si>
  <si>
    <t>T検定（対応あり）</t>
    <rPh sb="1" eb="3">
      <t>ケンテイ</t>
    </rPh>
    <rPh sb="4" eb="6">
      <t>タイオウ</t>
    </rPh>
    <phoneticPr fontId="1"/>
  </si>
  <si>
    <t>共分散</t>
    <rPh sb="0" eb="3">
      <t>キョウブンサン</t>
    </rPh>
    <phoneticPr fontId="1"/>
  </si>
  <si>
    <t>相関係数</t>
    <rPh sb="0" eb="4">
      <t>ソウカンケイスウ</t>
    </rPh>
    <phoneticPr fontId="1"/>
  </si>
  <si>
    <t>p値</t>
    <rPh sb="1" eb="2">
      <t>アタイ</t>
    </rPh>
    <phoneticPr fontId="1"/>
  </si>
  <si>
    <t>α=0.05</t>
    <phoneticPr fontId="1"/>
  </si>
  <si>
    <t>α=0.01</t>
    <phoneticPr fontId="1"/>
  </si>
  <si>
    <t>分散</t>
    <rPh sb="0" eb="2">
      <t>ブンサン</t>
    </rPh>
    <phoneticPr fontId="1"/>
  </si>
  <si>
    <t>自由度</t>
    <rPh sb="0" eb="3">
      <t>ジユウド</t>
    </rPh>
    <phoneticPr fontId="1"/>
  </si>
  <si>
    <t>t値</t>
    <rPh sb="1" eb="2">
      <t>アタイ</t>
    </rPh>
    <phoneticPr fontId="1"/>
  </si>
  <si>
    <t>①計-②計</t>
    <rPh sb="1" eb="2">
      <t>ケイ</t>
    </rPh>
    <rPh sb="4" eb="5">
      <t>ケイ</t>
    </rPh>
    <phoneticPr fontId="1"/>
  </si>
  <si>
    <t>平均</t>
    <rPh sb="0" eb="2">
      <t>ヘイキン</t>
    </rPh>
    <phoneticPr fontId="1"/>
  </si>
  <si>
    <t>※左：T.TEST　右：T.DIST</t>
    <rPh sb="1" eb="2">
      <t>ヒダリ</t>
    </rPh>
    <rPh sb="10" eb="11">
      <t>ミギ</t>
    </rPh>
    <phoneticPr fontId="1"/>
  </si>
  <si>
    <t>重み</t>
    <rPh sb="0" eb="1">
      <t>オモ</t>
    </rPh>
    <phoneticPr fontId="1"/>
  </si>
  <si>
    <t>A/B初期値</t>
    <rPh sb="3" eb="6">
      <t>ショキチ</t>
    </rPh>
    <phoneticPr fontId="1"/>
  </si>
  <si>
    <t>B/C初期値</t>
    <rPh sb="3" eb="6">
      <t>ショキチ</t>
    </rPh>
    <phoneticPr fontId="1"/>
  </si>
  <si>
    <t>成績処理システム</t>
    <rPh sb="0" eb="2">
      <t>セイセキ</t>
    </rPh>
    <rPh sb="2" eb="4">
      <t>ショリ</t>
    </rPh>
    <phoneticPr fontId="1"/>
  </si>
  <si>
    <t>テスト結果入力</t>
    <rPh sb="3" eb="5">
      <t>ケッカ</t>
    </rPh>
    <rPh sb="5" eb="7">
      <t>ニュウリョク</t>
    </rPh>
    <phoneticPr fontId="7"/>
  </si>
  <si>
    <t>○テスト情報登録</t>
    <rPh sb="4" eb="6">
      <t>ジョウホウ</t>
    </rPh>
    <rPh sb="6" eb="8">
      <t>トウロク</t>
    </rPh>
    <phoneticPr fontId="7"/>
  </si>
  <si>
    <t>重み</t>
    <rPh sb="0" eb="1">
      <t>オモ</t>
    </rPh>
    <phoneticPr fontId="7"/>
  </si>
  <si>
    <t>テスト備考</t>
    <rPh sb="3" eb="5">
      <t>ビコウ</t>
    </rPh>
    <phoneticPr fontId="7"/>
  </si>
  <si>
    <t>詳細</t>
    <rPh sb="0" eb="2">
      <t>ショウサイ</t>
    </rPh>
    <phoneticPr fontId="7"/>
  </si>
  <si>
    <t>クリッピング</t>
    <phoneticPr fontId="7"/>
  </si>
  <si>
    <t>得点変換</t>
    <rPh sb="0" eb="4">
      <t>トクテンヘンカン</t>
    </rPh>
    <phoneticPr fontId="7"/>
  </si>
  <si>
    <t>クリッピング上限</t>
    <rPh sb="6" eb="8">
      <t>ジョウゲン</t>
    </rPh>
    <phoneticPr fontId="7"/>
  </si>
  <si>
    <t>クリッピング下限</t>
    <rPh sb="6" eb="7">
      <t>シタ</t>
    </rPh>
    <rPh sb="7" eb="8">
      <t>キリ</t>
    </rPh>
    <phoneticPr fontId="7"/>
  </si>
  <si>
    <t>調整後範囲上限</t>
    <rPh sb="0" eb="2">
      <t>チョウセイ</t>
    </rPh>
    <rPh sb="2" eb="3">
      <t>アト</t>
    </rPh>
    <rPh sb="3" eb="5">
      <t>ハンイ</t>
    </rPh>
    <rPh sb="5" eb="7">
      <t>ジョウゲン</t>
    </rPh>
    <phoneticPr fontId="7"/>
  </si>
  <si>
    <t xml:space="preserve"> </t>
    <phoneticPr fontId="7"/>
  </si>
  <si>
    <t>調整後範囲下限</t>
    <rPh sb="0" eb="3">
      <t>チョウセイゴ</t>
    </rPh>
    <rPh sb="3" eb="5">
      <t>ハンイ</t>
    </rPh>
    <rPh sb="5" eb="7">
      <t>カゲン</t>
    </rPh>
    <phoneticPr fontId="7"/>
  </si>
  <si>
    <t>調整後配点</t>
    <rPh sb="0" eb="3">
      <t>チョウセイゴ</t>
    </rPh>
    <rPh sb="3" eb="5">
      <t>ハイテン</t>
    </rPh>
    <phoneticPr fontId="7"/>
  </si>
  <si>
    <t>コード</t>
    <phoneticPr fontId="7"/>
  </si>
  <si>
    <t>氏名</t>
    <rPh sb="0" eb="2">
      <t>シメイ</t>
    </rPh>
    <phoneticPr fontId="7"/>
  </si>
  <si>
    <t>得点変換</t>
    <rPh sb="0" eb="4">
      <t>トクテンヘンカン</t>
    </rPh>
    <phoneticPr fontId="1"/>
  </si>
  <si>
    <t>得点範囲調整</t>
    <rPh sb="0" eb="6">
      <t>トクテンハンイチョウセイ</t>
    </rPh>
    <phoneticPr fontId="1"/>
  </si>
  <si>
    <t>カテゴリ</t>
    <phoneticPr fontId="1"/>
  </si>
  <si>
    <t>詳細</t>
    <rPh sb="0" eb="2">
      <t>ショウサイ</t>
    </rPh>
    <phoneticPr fontId="1"/>
  </si>
  <si>
    <t>テスト</t>
    <phoneticPr fontId="1"/>
  </si>
  <si>
    <t>*教科</t>
    <rPh sb="1" eb="3">
      <t>キョウカ</t>
    </rPh>
    <phoneticPr fontId="7"/>
  </si>
  <si>
    <t>*テスト名</t>
    <rPh sb="4" eb="5">
      <t>メイ</t>
    </rPh>
    <phoneticPr fontId="7"/>
  </si>
  <si>
    <t>*評価観点</t>
    <rPh sb="1" eb="3">
      <t>ヒョウカ</t>
    </rPh>
    <rPh sb="3" eb="5">
      <t>カンテン</t>
    </rPh>
    <phoneticPr fontId="7"/>
  </si>
  <si>
    <t>*配点</t>
    <rPh sb="1" eb="3">
      <t>ハイテン</t>
    </rPh>
    <phoneticPr fontId="7"/>
  </si>
  <si>
    <t>*カテゴリ</t>
    <phoneticPr fontId="7"/>
  </si>
  <si>
    <t>*実施日</t>
    <rPh sb="1" eb="4">
      <t>ジッシビ</t>
    </rPh>
    <phoneticPr fontId="7"/>
  </si>
  <si>
    <t>コード</t>
    <phoneticPr fontId="1"/>
  </si>
  <si>
    <t>姓</t>
    <rPh sb="0" eb="1">
      <t>セイ</t>
    </rPh>
    <phoneticPr fontId="1"/>
  </si>
  <si>
    <t>名</t>
    <rPh sb="0" eb="1">
      <t>メイ</t>
    </rPh>
    <phoneticPr fontId="1"/>
  </si>
  <si>
    <t>在籍開始日</t>
    <rPh sb="0" eb="2">
      <t>ザイセキ</t>
    </rPh>
    <rPh sb="2" eb="5">
      <t>カイシビ</t>
    </rPh>
    <phoneticPr fontId="1"/>
  </si>
  <si>
    <t>在籍終了日</t>
    <rPh sb="0" eb="2">
      <t>ザイセキ</t>
    </rPh>
    <rPh sb="2" eb="5">
      <t>シュウリョウビ</t>
    </rPh>
    <phoneticPr fontId="1"/>
  </si>
  <si>
    <t>名簿</t>
    <rPh sb="0" eb="2">
      <t>メイボ</t>
    </rPh>
    <phoneticPr fontId="1"/>
  </si>
  <si>
    <t>児童数</t>
    <rPh sb="0" eb="2">
      <t>ジドウ</t>
    </rPh>
    <rPh sb="2" eb="3">
      <t>スウ</t>
    </rPh>
    <phoneticPr fontId="1"/>
  </si>
  <si>
    <t>:記入がなければ１として処理されます。（後から変更可能）</t>
    <rPh sb="1" eb="3">
      <t>キニュウ</t>
    </rPh>
    <rPh sb="12" eb="14">
      <t>ショリ</t>
    </rPh>
    <rPh sb="20" eb="21">
      <t>アト</t>
    </rPh>
    <rPh sb="23" eb="25">
      <t>ヘンコウ</t>
    </rPh>
    <rPh sb="25" eb="27">
      <t>カノウ</t>
    </rPh>
    <phoneticPr fontId="1"/>
  </si>
  <si>
    <t>カテゴリ</t>
  </si>
  <si>
    <t>テスト名</t>
    <rPh sb="3" eb="4">
      <t>メイ</t>
    </rPh>
    <phoneticPr fontId="1"/>
  </si>
  <si>
    <t>点数</t>
    <rPh sb="0" eb="2">
      <t>テンスウ</t>
    </rPh>
    <phoneticPr fontId="1"/>
  </si>
  <si>
    <t>転記先行</t>
    <rPh sb="0" eb="2">
      <t>テンキ</t>
    </rPh>
    <rPh sb="2" eb="3">
      <t>サキ</t>
    </rPh>
    <rPh sb="3" eb="4">
      <t>ギョウ</t>
    </rPh>
    <phoneticPr fontId="1"/>
  </si>
  <si>
    <t>転記先列</t>
    <rPh sb="0" eb="2">
      <t>テンキ</t>
    </rPh>
    <rPh sb="2" eb="3">
      <t>サキ</t>
    </rPh>
    <rPh sb="3" eb="4">
      <t>レツ</t>
    </rPh>
    <phoneticPr fontId="1"/>
  </si>
  <si>
    <t>素配点</t>
    <rPh sb="0" eb="1">
      <t>ソ</t>
    </rPh>
    <rPh sb="1" eb="3">
      <t>ハイテン</t>
    </rPh>
    <phoneticPr fontId="1"/>
  </si>
  <si>
    <t>データ一覧</t>
    <rPh sb="3" eb="5">
      <t>イチラン</t>
    </rPh>
    <phoneticPr fontId="1"/>
  </si>
  <si>
    <t>得点調整</t>
    <rPh sb="0" eb="2">
      <t>トクテン</t>
    </rPh>
    <rPh sb="2" eb="4">
      <t>チョウセイ</t>
    </rPh>
    <phoneticPr fontId="1"/>
  </si>
  <si>
    <t>4・5月の漢字５０問テスト</t>
  </si>
  <si>
    <t>漢字のまとめ①５０問</t>
  </si>
  <si>
    <t>田中</t>
  </si>
  <si>
    <t>雄介</t>
  </si>
  <si>
    <t>佐藤</t>
  </si>
  <si>
    <t>凛</t>
  </si>
  <si>
    <t>鈴木</t>
  </si>
  <si>
    <t>誠</t>
  </si>
  <si>
    <t>高橋</t>
  </si>
  <si>
    <t>美優</t>
  </si>
  <si>
    <t>渡辺</t>
  </si>
  <si>
    <t>伊藤</t>
  </si>
  <si>
    <t>山本</t>
  </si>
  <si>
    <t>太郎</t>
  </si>
  <si>
    <t>中村</t>
  </si>
  <si>
    <t>真央</t>
  </si>
  <si>
    <t>小林</t>
  </si>
  <si>
    <t>浩</t>
  </si>
  <si>
    <t>加藤</t>
  </si>
  <si>
    <t>さくら</t>
  </si>
  <si>
    <t>吉田</t>
  </si>
  <si>
    <t>亮</t>
  </si>
  <si>
    <t>山田</t>
  </si>
  <si>
    <t>愛</t>
  </si>
  <si>
    <t>佐々木</t>
  </si>
  <si>
    <t>山口</t>
  </si>
  <si>
    <t>結衣</t>
  </si>
  <si>
    <t>松本</t>
  </si>
  <si>
    <t>井上</t>
  </si>
  <si>
    <t>木村</t>
  </si>
  <si>
    <t>学</t>
  </si>
  <si>
    <t>林</t>
  </si>
  <si>
    <t>斎藤</t>
  </si>
  <si>
    <t>翔太</t>
  </si>
  <si>
    <t>清水</t>
  </si>
  <si>
    <t>山崎</t>
  </si>
  <si>
    <t>一郎</t>
  </si>
  <si>
    <t>森</t>
  </si>
  <si>
    <t>池田</t>
  </si>
  <si>
    <t>直樹</t>
  </si>
  <si>
    <t>橋本</t>
  </si>
  <si>
    <t>阿部</t>
  </si>
  <si>
    <t>健太</t>
  </si>
  <si>
    <t>石川</t>
  </si>
  <si>
    <t>陽菜</t>
  </si>
  <si>
    <t>山下</t>
  </si>
  <si>
    <t>中島</t>
  </si>
  <si>
    <t>石井</t>
  </si>
  <si>
    <t>小川</t>
  </si>
  <si>
    <t>楓</t>
  </si>
  <si>
    <t>テスト</t>
  </si>
  <si>
    <t>test1</t>
  </si>
  <si>
    <t>J001</t>
  </si>
  <si>
    <t>J002</t>
  </si>
  <si>
    <t>test2</t>
  </si>
  <si>
    <t>S001</t>
  </si>
  <si>
    <t>社会</t>
  </si>
  <si>
    <t>S002</t>
  </si>
  <si>
    <t>主体的</t>
  </si>
  <si>
    <t>表</t>
  </si>
  <si>
    <t>裏</t>
  </si>
  <si>
    <t>テスト４</t>
  </si>
  <si>
    <t>J003</t>
  </si>
  <si>
    <t>J004</t>
  </si>
  <si>
    <t>てｓｔ７</t>
  </si>
  <si>
    <t>J005</t>
  </si>
  <si>
    <t>test9</t>
  </si>
  <si>
    <t>M001</t>
  </si>
  <si>
    <t>算数</t>
  </si>
  <si>
    <t>M002</t>
  </si>
  <si>
    <t>test10</t>
  </si>
  <si>
    <t>J008</t>
  </si>
  <si>
    <t>無効</t>
    <phoneticPr fontId="1"/>
  </si>
  <si>
    <t>達成率</t>
  </si>
  <si>
    <t>ABC</t>
  </si>
  <si>
    <t>理科</t>
  </si>
  <si>
    <t>体育</t>
  </si>
  <si>
    <t>英語</t>
  </si>
  <si>
    <t>B</t>
    <phoneticPr fontId="1"/>
  </si>
  <si>
    <t>C</t>
    <phoneticPr fontId="1"/>
  </si>
  <si>
    <t>A</t>
    <phoneticPr fontId="1"/>
  </si>
  <si>
    <t>生徒管理コード</t>
    <rPh sb="0" eb="4">
      <t>セイトカンリ</t>
    </rPh>
    <phoneticPr fontId="1"/>
  </si>
  <si>
    <t>追試</t>
    <rPh sb="0" eb="2">
      <t>ツイシ</t>
    </rPh>
    <phoneticPr fontId="7"/>
  </si>
  <si>
    <t>:記入がなければ追試なしとして処理されます。</t>
    <rPh sb="1" eb="3">
      <t>キニュウ</t>
    </rPh>
    <rPh sb="8" eb="10">
      <t>ツイシ</t>
    </rPh>
    <rPh sb="15" eb="17">
      <t>ショリ</t>
    </rPh>
    <phoneticPr fontId="1"/>
  </si>
  <si>
    <t>追試管理メニュー</t>
    <rPh sb="0" eb="4">
      <t>ツイシカンリ</t>
    </rPh>
    <phoneticPr fontId="1"/>
  </si>
  <si>
    <t>状態</t>
    <rPh sb="0" eb="2">
      <t>ジョウタイ</t>
    </rPh>
    <phoneticPr fontId="1"/>
  </si>
  <si>
    <t>残り人数</t>
    <rPh sb="0" eb="1">
      <t>ノコ</t>
    </rPh>
    <rPh sb="2" eb="4">
      <t>ニンズウ</t>
    </rPh>
    <phoneticPr fontId="1"/>
  </si>
  <si>
    <t>シート名</t>
    <rPh sb="3" eb="4">
      <t>メイ</t>
    </rPh>
    <phoneticPr fontId="1"/>
  </si>
  <si>
    <t>追試管理シート</t>
    <rPh sb="0" eb="4">
      <t>ツイシカンリ</t>
    </rPh>
    <phoneticPr fontId="1"/>
  </si>
  <si>
    <t>追試元キー</t>
    <rPh sb="0" eb="3">
      <t>ツイシモト</t>
    </rPh>
    <phoneticPr fontId="1"/>
  </si>
  <si>
    <t>算出方法</t>
    <rPh sb="0" eb="4">
      <t>サンシュツホウホウ</t>
    </rPh>
    <phoneticPr fontId="1"/>
  </si>
  <si>
    <t>追試中</t>
    <rPh sb="0" eb="3">
      <t>ツイシチュウ</t>
    </rPh>
    <phoneticPr fontId="1"/>
  </si>
  <si>
    <t>本試</t>
    <rPh sb="0" eb="2">
      <t>ホンシ</t>
    </rPh>
    <phoneticPr fontId="1"/>
  </si>
  <si>
    <t>追試１</t>
    <rPh sb="0" eb="2">
      <t>ツイシ</t>
    </rPh>
    <phoneticPr fontId="1"/>
  </si>
  <si>
    <t>最終</t>
    <rPh sb="0" eb="2">
      <t>サイシュウ</t>
    </rPh>
    <phoneticPr fontId="1"/>
  </si>
  <si>
    <t>J009</t>
  </si>
  <si>
    <t>テスト１１</t>
  </si>
  <si>
    <t>J010</t>
  </si>
  <si>
    <t>N</t>
  </si>
  <si>
    <t>test12</t>
  </si>
  <si>
    <t>S003</t>
  </si>
  <si>
    <t>S004</t>
  </si>
  <si>
    <t>あｓｄ</t>
  </si>
  <si>
    <t>P001</t>
  </si>
  <si>
    <t>P002</t>
  </si>
  <si>
    <t>asdfg</t>
  </si>
  <si>
    <t>M003</t>
  </si>
  <si>
    <t>asdfghjkl</t>
  </si>
  <si>
    <t>M004</t>
  </si>
  <si>
    <t>kjhgf</t>
  </si>
  <si>
    <t>M005</t>
  </si>
  <si>
    <t>iuytr</t>
  </si>
  <si>
    <t>M006</t>
  </si>
  <si>
    <t>84stdh</t>
  </si>
  <si>
    <t>J011</t>
  </si>
  <si>
    <t>ahjlfg</t>
  </si>
  <si>
    <t>J012</t>
  </si>
  <si>
    <t>R001</t>
  </si>
  <si>
    <t>合格点</t>
    <rPh sb="0" eb="3">
      <t>ゴウカクテン</t>
    </rPh>
    <phoneticPr fontId="1"/>
  </si>
  <si>
    <t>判定</t>
    <rPh sb="0" eb="2">
      <t>ハンテイ</t>
    </rPh>
    <phoneticPr fontId="1"/>
  </si>
  <si>
    <t>合格者数</t>
    <rPh sb="0" eb="4">
      <t>ゴウカクシャスウ</t>
    </rPh>
    <phoneticPr fontId="1"/>
  </si>
  <si>
    <t>未合格者数</t>
    <rPh sb="0" eb="4">
      <t>ミゴウカクシャ</t>
    </rPh>
    <rPh sb="4" eb="5">
      <t>スウ</t>
    </rPh>
    <phoneticPr fontId="1"/>
  </si>
  <si>
    <t>S005</t>
  </si>
  <si>
    <t>M007</t>
  </si>
  <si>
    <t>test24</t>
  </si>
  <si>
    <t>J013</t>
  </si>
  <si>
    <t>てｓｔ２４５</t>
    <phoneticPr fontId="1"/>
  </si>
  <si>
    <t>test23</t>
    <phoneticPr fontId="1"/>
  </si>
  <si>
    <t>fs9g876dwah</t>
    <phoneticPr fontId="1"/>
  </si>
  <si>
    <t>非表示</t>
    <phoneticPr fontId="1"/>
  </si>
  <si>
    <t>※ 得点セルをダブルクリックで修正できます</t>
    <phoneticPr fontId="1"/>
  </si>
  <si>
    <t>実施日</t>
    <phoneticPr fontId="1"/>
  </si>
  <si>
    <t>教科</t>
    <phoneticPr fontId="1"/>
  </si>
  <si>
    <t>テスト名</t>
    <phoneticPr fontId="1"/>
  </si>
  <si>
    <t>観点</t>
    <phoneticPr fontId="1"/>
  </si>
  <si>
    <t>詳細</t>
    <phoneticPr fontId="1"/>
  </si>
  <si>
    <t>配点</t>
    <phoneticPr fontId="1"/>
  </si>
  <si>
    <t>調整後配点</t>
    <phoneticPr fontId="1"/>
  </si>
  <si>
    <t>重み</t>
    <phoneticPr fontId="1"/>
  </si>
  <si>
    <t>平均</t>
    <phoneticPr fontId="1"/>
  </si>
  <si>
    <t>中央値</t>
    <phoneticPr fontId="1"/>
  </si>
  <si>
    <t>標準偏差</t>
    <phoneticPr fontId="1"/>
  </si>
  <si>
    <t>変動係数</t>
    <phoneticPr fontId="1"/>
  </si>
  <si>
    <t>●をダブルクリック→★に採用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</si>
</sst>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m/d;@"/>
  </numFmts>
  <fonts count="2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6"/>
      <color theme="1"/>
      <name val="游ゴシック"/>
      <family val="2"/>
      <charset val="128"/>
      <scheme val="minor"/>
    </font>
    <font>
      <sz val="18"/>
      <color theme="1"/>
      <name val="游ゴシック"/>
      <family val="3"/>
      <charset val="128"/>
      <scheme val="minor"/>
    </font>
    <font>
      <sz val="9"/>
      <color rgb="FF000000"/>
      <name val="Meiryo UI"/>
      <family val="3"/>
      <charset val="128"/>
    </font>
    <font>
      <sz val="11"/>
      <color theme="1"/>
      <name val="游ゴシック"/>
      <family val="2"/>
      <scheme val="minor"/>
    </font>
    <font>
      <sz val="26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4"/>
      <color theme="1"/>
      <name val="游ゴシック"/>
      <family val="2"/>
      <scheme val="minor"/>
    </font>
    <font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20"/>
      <color rgb="FF000000"/>
      <name val="游ゴシック"/>
      <family val="3"/>
      <charset val="128"/>
    </font>
    <font>
      <sz val="20"/>
      <color theme="1"/>
      <name val="游ゴシック"/>
      <family val="2"/>
      <charset val="128"/>
      <scheme val="minor"/>
    </font>
    <font>
      <b/>
      <sz val="16"/>
      <color rgb="FFFFFFFF"/>
      <name val="游ゴシック"/>
      <family val="3"/>
      <charset val="128"/>
      <scheme val="minor"/>
    </font>
    <font>
      <b/>
      <sz val="10"/>
      <color rgb="FFFFFFFF"/>
      <name val="游ゴシック"/>
      <family val="3"/>
      <charset val="128"/>
      <scheme val="minor"/>
    </font>
    <font>
      <b/>
      <sz val="10"/>
      <color rgb="FF000000"/>
      <name val="游ゴシック"/>
      <family val="3"/>
      <charset val="128"/>
      <scheme val="minor"/>
    </font>
    <font>
      <b/>
      <sz val="14"/>
      <color rgb="FFFFFFFF"/>
      <name val="游ゴシック"/>
      <family val="3"/>
      <charset val="128"/>
      <scheme val="minor"/>
    </font>
    <font>
      <i/>
      <sz val="9"/>
      <color rgb="FF646464"/>
      <name val="游ゴシック"/>
      <family val="3"/>
      <charset val="128"/>
      <scheme val="minor"/>
    </font>
    <font>
      <b/>
      <sz val="10"/>
      <color theme="1"/>
      <name val="游ゴシック"/>
      <family val="3"/>
      <charset val="128"/>
      <scheme val="minor"/>
    </font>
    <font>
      <b/>
      <sz val="9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b/>
      <i/>
      <sz val="9"/>
      <color rgb="FF646464"/>
      <name val="游ゴシック"/>
      <family val="3"/>
      <charset val="128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EFFFEF"/>
        <bgColor indexed="64"/>
      </patternFill>
    </fill>
    <fill>
      <patternFill patternType="solid">
        <fgColor rgb="FFE1FFFF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ADF9D7"/>
        <bgColor indexed="64"/>
      </patternFill>
    </fill>
    <fill>
      <patternFill patternType="solid">
        <fgColor rgb="FF1F497D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DAE8F7"/>
        <bgColor indexed="64"/>
      </patternFill>
    </fill>
    <fill>
      <patternFill patternType="solid">
        <fgColor rgb="FFB4D2EB"/>
        <bgColor indexed="64"/>
      </patternFill>
    </fill>
    <fill>
      <patternFill patternType="solid">
        <fgColor rgb="FFF0F0F8"/>
        <bgColor indexed="64"/>
      </patternFill>
    </fill>
    <fill>
      <patternFill patternType="solid">
        <fgColor rgb="FFF2F6FC"/>
        <bgColor indexed="64"/>
      </patternFill>
    </fill>
  </fills>
  <borders count="3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rgb="FFA6B0C0"/>
      </left>
      <right style="thin">
        <color rgb="FFA6B0C0"/>
      </right>
      <top style="thin">
        <color rgb="FFA6B0C0"/>
      </top>
      <bottom style="thin">
        <color rgb="FFA6B0C0"/>
      </bottom>
      <diagonal/>
    </border>
    <border>
      <left style="thin">
        <color rgb="FFA6B0C0"/>
      </left>
      <right style="thin">
        <color rgb="FFA6B0C0"/>
      </right>
      <top/>
      <bottom/>
      <diagonal/>
    </border>
    <border>
      <left/>
      <right/>
      <top/>
      <bottom style="medium">
        <color rgb="FF1F497D"/>
      </bottom>
      <diagonal/>
    </border>
    <border>
      <left style="thin">
        <color rgb="FFA6B0C0"/>
      </left>
      <right style="thin">
        <color rgb="FFA6B0C0"/>
      </right>
      <top style="thin">
        <color rgb="FFA6B0C0"/>
      </top>
      <bottom/>
      <diagonal/>
    </border>
  </borders>
  <cellStyleXfs count="2">
    <xf numFmtId="0" fontId="0" fillId="0" borderId="0">
      <alignment vertical="center"/>
    </xf>
    <xf numFmtId="0" fontId="5" fillId="0" borderId="0"/>
  </cellStyleXfs>
  <cellXfs count="158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0" borderId="0" xfId="0" applyAlignment="1">
      <alignment vertical="center" shrinkToFit="1"/>
    </xf>
    <xf numFmtId="0" fontId="0" fillId="0" borderId="1" xfId="0" applyBorder="1">
      <alignment vertical="center"/>
    </xf>
    <xf numFmtId="0" fontId="0" fillId="3" borderId="0" xfId="0" applyFill="1">
      <alignment vertical="center"/>
    </xf>
    <xf numFmtId="0" fontId="0" fillId="0" borderId="3" xfId="0" applyBorder="1">
      <alignment vertical="center"/>
    </xf>
    <xf numFmtId="49" fontId="0" fillId="2" borderId="0" xfId="0" applyNumberFormat="1" applyFill="1">
      <alignment vertical="center"/>
    </xf>
    <xf numFmtId="0" fontId="0" fillId="0" borderId="8" xfId="0" applyBorder="1">
      <alignment vertical="center"/>
    </xf>
    <xf numFmtId="0" fontId="0" fillId="0" borderId="10" xfId="0" applyBorder="1">
      <alignment vertical="center"/>
    </xf>
    <xf numFmtId="0" fontId="2" fillId="0" borderId="0" xfId="0" applyFont="1">
      <alignment vertical="center"/>
    </xf>
    <xf numFmtId="0" fontId="0" fillId="0" borderId="2" xfId="0" applyBorder="1">
      <alignment vertical="center"/>
    </xf>
    <xf numFmtId="0" fontId="0" fillId="0" borderId="0" xfId="0" applyAlignment="1">
      <alignment horizontal="left" vertical="center" shrinkToFit="1"/>
    </xf>
    <xf numFmtId="0" fontId="0" fillId="0" borderId="6" xfId="0" applyBorder="1" applyAlignment="1">
      <alignment horizontal="left" vertical="center" shrinkToFit="1"/>
    </xf>
    <xf numFmtId="0" fontId="0" fillId="4" borderId="1" xfId="0" applyFill="1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3" borderId="1" xfId="0" applyFill="1" applyBorder="1" applyAlignment="1">
      <alignment horizontal="center" vertical="center"/>
    </xf>
    <xf numFmtId="0" fontId="0" fillId="3" borderId="1" xfId="0" applyFill="1" applyBorder="1">
      <alignment vertical="center"/>
    </xf>
    <xf numFmtId="14" fontId="0" fillId="4" borderId="1" xfId="0" applyNumberFormat="1" applyFill="1" applyBorder="1" applyAlignment="1">
      <alignment horizontal="center" vertical="center" shrinkToFit="1"/>
    </xf>
    <xf numFmtId="14" fontId="0" fillId="3" borderId="1" xfId="0" applyNumberFormat="1" applyFill="1" applyBorder="1" applyAlignment="1">
      <alignment horizontal="center" vertical="center" shrinkToFit="1"/>
    </xf>
    <xf numFmtId="0" fontId="0" fillId="4" borderId="1" xfId="0" applyFill="1" applyBorder="1" applyAlignment="1">
      <alignment horizontal="center" vertical="center" shrinkToFit="1"/>
    </xf>
    <xf numFmtId="0" fontId="0" fillId="3" borderId="1" xfId="0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/>
    </xf>
    <xf numFmtId="14" fontId="0" fillId="4" borderId="11" xfId="0" applyNumberFormat="1" applyFill="1" applyBorder="1" applyAlignment="1">
      <alignment horizontal="center" vertical="center" shrinkToFit="1"/>
    </xf>
    <xf numFmtId="0" fontId="0" fillId="4" borderId="11" xfId="0" applyFill="1" applyBorder="1" applyAlignment="1">
      <alignment horizontal="center" vertical="center" shrinkToFit="1"/>
    </xf>
    <xf numFmtId="0" fontId="0" fillId="4" borderId="3" xfId="0" applyFill="1" applyBorder="1">
      <alignment vertical="center"/>
    </xf>
    <xf numFmtId="0" fontId="0" fillId="4" borderId="10" xfId="0" applyFill="1" applyBorder="1">
      <alignment vertical="center"/>
    </xf>
    <xf numFmtId="14" fontId="0" fillId="4" borderId="9" xfId="0" applyNumberFormat="1" applyFill="1" applyBorder="1" applyAlignment="1">
      <alignment vertical="center" shrinkToFit="1"/>
    </xf>
    <xf numFmtId="0" fontId="0" fillId="4" borderId="9" xfId="0" applyFill="1" applyBorder="1">
      <alignment vertical="center"/>
    </xf>
    <xf numFmtId="0" fontId="0" fillId="4" borderId="9" xfId="0" applyFill="1" applyBorder="1" applyAlignment="1">
      <alignment vertical="center" shrinkToFit="1"/>
    </xf>
    <xf numFmtId="0" fontId="0" fillId="4" borderId="4" xfId="0" applyFill="1" applyBorder="1">
      <alignment vertical="center"/>
    </xf>
    <xf numFmtId="14" fontId="0" fillId="4" borderId="5" xfId="0" applyNumberFormat="1" applyFill="1" applyBorder="1" applyAlignment="1">
      <alignment vertical="center" shrinkToFit="1"/>
    </xf>
    <xf numFmtId="0" fontId="0" fillId="4" borderId="5" xfId="0" applyFill="1" applyBorder="1">
      <alignment vertical="center"/>
    </xf>
    <xf numFmtId="0" fontId="0" fillId="4" borderId="5" xfId="0" applyFill="1" applyBorder="1" applyAlignment="1">
      <alignment vertical="center" shrinkToFit="1"/>
    </xf>
    <xf numFmtId="0" fontId="0" fillId="4" borderId="7" xfId="0" applyFill="1" applyBorder="1">
      <alignment vertical="center"/>
    </xf>
    <xf numFmtId="0" fontId="0" fillId="3" borderId="2" xfId="0" applyFill="1" applyBorder="1" applyAlignment="1">
      <alignment horizontal="center" vertical="center"/>
    </xf>
    <xf numFmtId="14" fontId="0" fillId="3" borderId="2" xfId="0" applyNumberFormat="1" applyFill="1" applyBorder="1" applyAlignment="1">
      <alignment horizontal="center" vertical="center" shrinkToFit="1"/>
    </xf>
    <xf numFmtId="0" fontId="0" fillId="3" borderId="2" xfId="0" applyFill="1" applyBorder="1" applyAlignment="1">
      <alignment horizontal="center" vertical="center" shrinkToFit="1"/>
    </xf>
    <xf numFmtId="0" fontId="0" fillId="4" borderId="3" xfId="0" applyFill="1" applyBorder="1" applyAlignment="1">
      <alignment vertical="center" shrinkToFit="1"/>
    </xf>
    <xf numFmtId="0" fontId="0" fillId="3" borderId="11" xfId="0" applyFill="1" applyBorder="1" applyAlignment="1">
      <alignment horizontal="center" vertical="center"/>
    </xf>
    <xf numFmtId="14" fontId="0" fillId="3" borderId="11" xfId="0" applyNumberFormat="1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3" xfId="0" applyFill="1" applyBorder="1">
      <alignment vertical="center"/>
    </xf>
    <xf numFmtId="0" fontId="0" fillId="3" borderId="3" xfId="0" applyFill="1" applyBorder="1" applyAlignment="1">
      <alignment vertical="center" shrinkToFit="1"/>
    </xf>
    <xf numFmtId="0" fontId="0" fillId="3" borderId="10" xfId="0" applyFill="1" applyBorder="1">
      <alignment vertical="center"/>
    </xf>
    <xf numFmtId="14" fontId="0" fillId="3" borderId="9" xfId="0" applyNumberFormat="1" applyFill="1" applyBorder="1" applyAlignment="1">
      <alignment vertical="center" shrinkToFit="1"/>
    </xf>
    <xf numFmtId="0" fontId="0" fillId="3" borderId="9" xfId="0" applyFill="1" applyBorder="1">
      <alignment vertical="center"/>
    </xf>
    <xf numFmtId="0" fontId="0" fillId="3" borderId="9" xfId="0" applyFill="1" applyBorder="1" applyAlignment="1">
      <alignment vertical="center" shrinkToFit="1"/>
    </xf>
    <xf numFmtId="0" fontId="0" fillId="2" borderId="13" xfId="0" applyFill="1" applyBorder="1">
      <alignment vertical="center"/>
    </xf>
    <xf numFmtId="0" fontId="0" fillId="4" borderId="14" xfId="0" applyFill="1" applyBorder="1">
      <alignment vertical="center"/>
    </xf>
    <xf numFmtId="0" fontId="0" fillId="3" borderId="14" xfId="0" applyFill="1" applyBorder="1">
      <alignment vertical="center"/>
    </xf>
    <xf numFmtId="0" fontId="0" fillId="3" borderId="15" xfId="0" applyFill="1" applyBorder="1">
      <alignment vertical="center"/>
    </xf>
    <xf numFmtId="0" fontId="0" fillId="2" borderId="16" xfId="0" applyFill="1" applyBorder="1">
      <alignment vertical="center"/>
    </xf>
    <xf numFmtId="0" fontId="0" fillId="3" borderId="17" xfId="0" applyFill="1" applyBorder="1">
      <alignment vertical="center"/>
    </xf>
    <xf numFmtId="0" fontId="0" fillId="2" borderId="18" xfId="0" applyFill="1" applyBorder="1">
      <alignment vertical="center"/>
    </xf>
    <xf numFmtId="0" fontId="0" fillId="4" borderId="19" xfId="0" applyFill="1" applyBorder="1">
      <alignment vertical="center"/>
    </xf>
    <xf numFmtId="0" fontId="0" fillId="3" borderId="19" xfId="0" applyFill="1" applyBorder="1">
      <alignment vertical="center"/>
    </xf>
    <xf numFmtId="0" fontId="0" fillId="3" borderId="20" xfId="0" applyFill="1" applyBorder="1">
      <alignment vertical="center"/>
    </xf>
    <xf numFmtId="0" fontId="0" fillId="0" borderId="24" xfId="0" applyBorder="1">
      <alignment vertical="center"/>
    </xf>
    <xf numFmtId="0" fontId="0" fillId="0" borderId="16" xfId="0" applyBorder="1">
      <alignment vertical="center"/>
    </xf>
    <xf numFmtId="0" fontId="0" fillId="0" borderId="25" xfId="0" applyBorder="1">
      <alignment vertical="center"/>
    </xf>
    <xf numFmtId="0" fontId="0" fillId="0" borderId="18" xfId="0" applyBorder="1">
      <alignment vertical="center"/>
    </xf>
    <xf numFmtId="0" fontId="0" fillId="0" borderId="26" xfId="0" applyBorder="1">
      <alignment vertical="center"/>
    </xf>
    <xf numFmtId="0" fontId="0" fillId="0" borderId="27" xfId="0" applyBorder="1">
      <alignment vertical="center"/>
    </xf>
    <xf numFmtId="0" fontId="0" fillId="0" borderId="21" xfId="0" applyBorder="1" applyAlignment="1"/>
    <xf numFmtId="0" fontId="0" fillId="0" borderId="22" xfId="0" applyBorder="1">
      <alignment vertical="center"/>
    </xf>
    <xf numFmtId="0" fontId="0" fillId="0" borderId="23" xfId="0" applyBorder="1">
      <alignment vertical="center"/>
    </xf>
    <xf numFmtId="0" fontId="0" fillId="0" borderId="13" xfId="0" applyBorder="1">
      <alignment vertical="center"/>
    </xf>
    <xf numFmtId="0" fontId="5" fillId="0" borderId="0" xfId="1" applyAlignment="1">
      <alignment horizontal="left"/>
    </xf>
    <xf numFmtId="0" fontId="5" fillId="0" borderId="0" xfId="1"/>
    <xf numFmtId="0" fontId="6" fillId="0" borderId="0" xfId="1" applyFont="1" applyAlignment="1">
      <alignment horizontal="left"/>
    </xf>
    <xf numFmtId="0" fontId="8" fillId="0" borderId="0" xfId="1" applyFont="1" applyAlignment="1">
      <alignment horizontal="left"/>
    </xf>
    <xf numFmtId="0" fontId="9" fillId="0" borderId="0" xfId="1" applyFont="1" applyAlignment="1">
      <alignment horizontal="right"/>
    </xf>
    <xf numFmtId="0" fontId="8" fillId="5" borderId="1" xfId="1" applyFont="1" applyFill="1" applyBorder="1" applyAlignment="1">
      <alignment horizontal="center" vertical="center"/>
    </xf>
    <xf numFmtId="0" fontId="8" fillId="0" borderId="0" xfId="1" applyFont="1" applyAlignment="1">
      <alignment horizontal="center"/>
    </xf>
    <xf numFmtId="0" fontId="8" fillId="5" borderId="1" xfId="1" applyFont="1" applyFill="1" applyBorder="1" applyAlignment="1">
      <alignment shrinkToFit="1"/>
    </xf>
    <xf numFmtId="0" fontId="8" fillId="5" borderId="1" xfId="1" applyFont="1" applyFill="1" applyBorder="1" applyAlignment="1">
      <alignment horizontal="center"/>
    </xf>
    <xf numFmtId="14" fontId="8" fillId="5" borderId="1" xfId="1" applyNumberFormat="1" applyFont="1" applyFill="1" applyBorder="1" applyAlignment="1">
      <alignment horizontal="center"/>
    </xf>
    <xf numFmtId="0" fontId="8" fillId="0" borderId="0" xfId="1" applyFont="1"/>
    <xf numFmtId="0" fontId="5" fillId="0" borderId="0" xfId="1" applyAlignment="1">
      <alignment horizontal="right"/>
    </xf>
    <xf numFmtId="0" fontId="5" fillId="0" borderId="0" xfId="1" applyAlignment="1">
      <alignment horizontal="center" vertical="center"/>
    </xf>
    <xf numFmtId="0" fontId="5" fillId="0" borderId="0" xfId="1" applyAlignment="1">
      <alignment horizontal="center"/>
    </xf>
    <xf numFmtId="0" fontId="10" fillId="5" borderId="1" xfId="1" applyFont="1" applyFill="1" applyBorder="1" applyAlignment="1">
      <alignment horizontal="center" vertical="center" wrapText="1" shrinkToFit="1"/>
    </xf>
    <xf numFmtId="0" fontId="8" fillId="0" borderId="0" xfId="1" applyFont="1" applyAlignment="1">
      <alignment horizontal="center" shrinkToFit="1"/>
    </xf>
    <xf numFmtId="0" fontId="10" fillId="0" borderId="0" xfId="1" applyFont="1" applyAlignment="1">
      <alignment horizontal="center" vertical="center" wrapText="1" shrinkToFit="1"/>
    </xf>
    <xf numFmtId="0" fontId="8" fillId="5" borderId="1" xfId="1" applyFont="1" applyFill="1" applyBorder="1" applyAlignment="1">
      <alignment horizontal="center" vertical="center" wrapText="1" shrinkToFit="1"/>
    </xf>
    <xf numFmtId="0" fontId="11" fillId="0" borderId="0" xfId="1" applyFont="1" applyAlignment="1">
      <alignment horizontal="center"/>
    </xf>
    <xf numFmtId="0" fontId="10" fillId="6" borderId="1" xfId="1" applyFont="1" applyFill="1" applyBorder="1" applyAlignment="1">
      <alignment horizontal="center" vertical="center" wrapText="1" shrinkToFit="1"/>
    </xf>
    <xf numFmtId="0" fontId="10" fillId="7" borderId="1" xfId="1" applyFont="1" applyFill="1" applyBorder="1" applyAlignment="1">
      <alignment horizontal="center" vertical="center" wrapText="1" shrinkToFit="1"/>
    </xf>
    <xf numFmtId="0" fontId="10" fillId="8" borderId="1" xfId="1" applyFont="1" applyFill="1" applyBorder="1" applyAlignment="1">
      <alignment horizontal="center" vertical="center" wrapText="1" shrinkToFit="1"/>
    </xf>
    <xf numFmtId="0" fontId="8" fillId="8" borderId="1" xfId="1" applyFont="1" applyFill="1" applyBorder="1" applyAlignment="1">
      <alignment horizontal="center" vertical="center"/>
    </xf>
    <xf numFmtId="0" fontId="8" fillId="8" borderId="1" xfId="1" applyFont="1" applyFill="1" applyBorder="1" applyAlignment="1">
      <alignment horizontal="center"/>
    </xf>
    <xf numFmtId="0" fontId="10" fillId="0" borderId="0" xfId="1" applyFont="1" applyAlignment="1">
      <alignment horizontal="left"/>
    </xf>
    <xf numFmtId="0" fontId="10" fillId="0" borderId="1" xfId="1" applyFont="1" applyBorder="1" applyAlignment="1">
      <alignment horizontal="center" vertical="center" wrapText="1" shrinkToFit="1"/>
    </xf>
    <xf numFmtId="0" fontId="8" fillId="0" borderId="26" xfId="1" applyFont="1" applyBorder="1"/>
    <xf numFmtId="0" fontId="8" fillId="0" borderId="26" xfId="1" applyFont="1" applyBorder="1" applyAlignment="1">
      <alignment horizontal="center"/>
    </xf>
    <xf numFmtId="0" fontId="13" fillId="0" borderId="0" xfId="1" applyFont="1" applyAlignment="1">
      <alignment horizontal="center"/>
    </xf>
    <xf numFmtId="0" fontId="10" fillId="0" borderId="0" xfId="1" applyFont="1" applyAlignment="1">
      <alignment horizontal="right" vertical="center"/>
    </xf>
    <xf numFmtId="0" fontId="12" fillId="0" borderId="26" xfId="1" applyFont="1" applyBorder="1" applyAlignment="1">
      <alignment horizontal="center" vertical="center"/>
    </xf>
    <xf numFmtId="0" fontId="5" fillId="0" borderId="26" xfId="1" applyBorder="1" applyAlignment="1">
      <alignment horizontal="center"/>
    </xf>
    <xf numFmtId="0" fontId="16" fillId="0" borderId="0" xfId="0" applyFont="1">
      <alignment vertical="center"/>
    </xf>
    <xf numFmtId="0" fontId="13" fillId="0" borderId="0" xfId="0" applyFont="1">
      <alignment vertical="center"/>
    </xf>
    <xf numFmtId="0" fontId="13" fillId="9" borderId="0" xfId="0" applyFont="1" applyFill="1">
      <alignment vertical="center"/>
    </xf>
    <xf numFmtId="0" fontId="17" fillId="9" borderId="0" xfId="0" applyFont="1" applyFill="1">
      <alignment vertical="center"/>
    </xf>
    <xf numFmtId="0" fontId="18" fillId="9" borderId="28" xfId="0" applyFont="1" applyFill="1" applyBorder="1" applyAlignment="1">
      <alignment horizontal="center" vertical="center"/>
    </xf>
    <xf numFmtId="0" fontId="13" fillId="11" borderId="29" xfId="0" applyFont="1" applyFill="1" applyBorder="1">
      <alignment vertical="center"/>
    </xf>
    <xf numFmtId="0" fontId="18" fillId="9" borderId="30" xfId="0" applyFont="1" applyFill="1" applyBorder="1" applyAlignment="1">
      <alignment horizontal="center" vertical="center"/>
    </xf>
    <xf numFmtId="0" fontId="19" fillId="10" borderId="30" xfId="0" applyFont="1" applyFill="1" applyBorder="1" applyAlignment="1">
      <alignment horizontal="center" vertical="center"/>
    </xf>
    <xf numFmtId="0" fontId="13" fillId="0" borderId="31" xfId="0" applyFont="1" applyBorder="1">
      <alignment vertical="center"/>
    </xf>
    <xf numFmtId="0" fontId="13" fillId="0" borderId="0" xfId="0" applyFont="1" applyProtection="1">
      <alignment vertical="center"/>
      <protection locked="0"/>
    </xf>
    <xf numFmtId="0" fontId="13" fillId="0" borderId="0" xfId="0" applyFont="1" applyAlignment="1" applyProtection="1">
      <alignment vertical="center" shrinkToFit="1"/>
      <protection locked="0"/>
    </xf>
    <xf numFmtId="176" fontId="13" fillId="0" borderId="0" xfId="0" applyNumberFormat="1" applyFont="1" applyAlignment="1" applyProtection="1">
      <alignment vertical="center" shrinkToFit="1"/>
      <protection locked="0"/>
    </xf>
    <xf numFmtId="0" fontId="13" fillId="0" borderId="0" xfId="0" applyFont="1" applyAlignment="1" applyProtection="1">
      <alignment vertical="center" textRotation="255" shrinkToFit="1"/>
      <protection locked="0"/>
    </xf>
    <xf numFmtId="0" fontId="13" fillId="0" borderId="0" xfId="1" applyFont="1" applyProtection="1">
      <protection locked="0"/>
    </xf>
    <xf numFmtId="0" fontId="13" fillId="9" borderId="0" xfId="0" applyFont="1" applyFill="1" applyProtection="1">
      <alignment vertical="center"/>
      <protection locked="0"/>
    </xf>
    <xf numFmtId="0" fontId="20" fillId="9" borderId="0" xfId="0" applyFont="1" applyFill="1" applyProtection="1">
      <alignment vertical="center"/>
      <protection locked="0"/>
    </xf>
    <xf numFmtId="0" fontId="21" fillId="0" borderId="0" xfId="0" applyFont="1" applyProtection="1">
      <alignment vertical="center"/>
      <protection locked="0"/>
    </xf>
    <xf numFmtId="0" fontId="23" fillId="12" borderId="0" xfId="0" applyFont="1" applyFill="1" applyProtection="1">
      <alignment vertical="center"/>
      <protection locked="0"/>
    </xf>
    <xf numFmtId="0" fontId="23" fillId="12" borderId="0" xfId="0" applyFont="1" applyFill="1" applyAlignment="1" applyProtection="1">
      <alignment horizontal="right" vertical="center"/>
      <protection locked="0"/>
    </xf>
    <xf numFmtId="0" fontId="23" fillId="12" borderId="31" xfId="0" applyFont="1" applyFill="1" applyBorder="1" applyAlignment="1" applyProtection="1">
      <alignment horizontal="right" vertical="center"/>
      <protection locked="0"/>
    </xf>
    <xf numFmtId="0" fontId="23" fillId="12" borderId="31" xfId="0" applyFont="1" applyFill="1" applyBorder="1" applyProtection="1">
      <alignment vertical="center"/>
      <protection locked="0"/>
    </xf>
    <xf numFmtId="0" fontId="13" fillId="0" borderId="0" xfId="0" applyFont="1" applyAlignment="1">
      <alignment vertical="center" shrinkToFit="1"/>
    </xf>
    <xf numFmtId="0" fontId="13" fillId="0" borderId="0" xfId="0" applyFont="1" applyAlignment="1">
      <alignment horizontal="center" vertical="center" shrinkToFit="1"/>
    </xf>
    <xf numFmtId="176" fontId="13" fillId="0" borderId="0" xfId="0" applyNumberFormat="1" applyFont="1" applyAlignment="1">
      <alignment horizontal="center" vertical="center" shrinkToFit="1"/>
    </xf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vertical="center" textRotation="255"/>
    </xf>
    <xf numFmtId="0" fontId="20" fillId="9" borderId="0" xfId="0" applyFont="1" applyFill="1">
      <alignment vertical="center"/>
    </xf>
    <xf numFmtId="0" fontId="24" fillId="11" borderId="0" xfId="0" applyFont="1" applyFill="1">
      <alignment vertical="center"/>
    </xf>
    <xf numFmtId="0" fontId="13" fillId="13" borderId="0" xfId="0" applyFont="1" applyFill="1">
      <alignment vertical="center"/>
    </xf>
    <xf numFmtId="0" fontId="11" fillId="0" borderId="0" xfId="0" applyFont="1">
      <alignment vertical="center"/>
    </xf>
    <xf numFmtId="0" fontId="23" fillId="12" borderId="0" xfId="0" applyFont="1" applyFill="1">
      <alignment vertical="center"/>
    </xf>
    <xf numFmtId="0" fontId="23" fillId="12" borderId="0" xfId="0" applyFont="1" applyFill="1" applyAlignment="1">
      <alignment horizontal="right" vertical="center"/>
    </xf>
    <xf numFmtId="0" fontId="25" fillId="12" borderId="0" xfId="0" applyFont="1" applyFill="1">
      <alignment vertical="center"/>
    </xf>
    <xf numFmtId="0" fontId="23" fillId="12" borderId="0" xfId="0" applyFont="1" applyFill="1" applyAlignment="1">
      <alignment vertical="center" textRotation="255"/>
    </xf>
    <xf numFmtId="0" fontId="23" fillId="12" borderId="31" xfId="0" applyFont="1" applyFill="1" applyBorder="1">
      <alignment vertical="center"/>
    </xf>
    <xf numFmtId="0" fontId="23" fillId="12" borderId="31" xfId="0" applyFont="1" applyFill="1" applyBorder="1" applyAlignment="1">
      <alignment horizontal="right" vertical="center"/>
    </xf>
    <xf numFmtId="0" fontId="13" fillId="0" borderId="28" xfId="0" applyFont="1" applyBorder="1">
      <alignment vertical="center"/>
    </xf>
    <xf numFmtId="0" fontId="22" fillId="13" borderId="0" xfId="0" applyFont="1" applyFill="1">
      <alignment vertical="center"/>
    </xf>
    <xf numFmtId="0" fontId="22" fillId="0" borderId="0" xfId="0" applyFont="1">
      <alignment vertical="center"/>
    </xf>
    <xf numFmtId="0" fontId="13" fillId="0" borderId="29" xfId="0" applyFont="1" applyBorder="1">
      <alignment vertical="center"/>
    </xf>
    <xf numFmtId="0" fontId="8" fillId="5" borderId="1" xfId="1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13" fillId="0" borderId="0" xfId="0" applyFont="1" applyProtection="1">
      <alignment vertical="center"/>
    </xf>
    <xf numFmtId="0" fontId="13" fillId="0" borderId="29" xfId="0" applyFont="1" applyFill="1" applyBorder="1">
      <alignment vertical="center"/>
    </xf>
    <xf numFmtId="0" fontId="13" fillId="0" borderId="0" xfId="0" applyFont="1" applyFill="1" applyBorder="1">
      <alignment vertical="center"/>
    </xf>
    <xf numFmtId="0" fontId="13" fillId="0" borderId="0" xfId="0" applyFont="1" applyBorder="1">
      <alignment vertical="center"/>
    </xf>
    <xf numFmtId="0" fontId="18" fillId="9" borderId="32" xfId="0" applyFont="1" applyFill="1" applyBorder="1" applyAlignment="1">
      <alignment horizontal="center" vertical="center"/>
    </xf>
    <xf numFmtId="14" fontId="13" fillId="0" borderId="0" xfId="0" applyNumberFormat="1" applyFont="1">
      <alignment vertical="center"/>
    </xf>
    <xf numFmtId="0" fontId="24" fillId="11" borderId="0" xfId="0" applyFont="1" applyFill="1" applyAlignment="1">
      <alignment horizontal="center" vertical="center"/>
    </xf>
    <xf numFmtId="14" fontId="13" fillId="0" borderId="29" xfId="0" applyNumberFormat="1" applyFont="1" applyBorder="1">
      <alignment vertical="center"/>
    </xf>
    <xf numFmtId="0" fontId="13" fillId="14" borderId="29" xfId="0" applyFont="1" applyFill="1" applyBorder="1">
      <alignment vertical="center"/>
    </xf>
    <xf numFmtId="14" fontId="13" fillId="14" borderId="29" xfId="0" applyNumberFormat="1" applyFont="1" applyFill="1" applyBorder="1">
      <alignment vertical="center"/>
    </xf>
    <xf numFmtId="0" fontId="13" fillId="14" borderId="32" xfId="0" applyFont="1" applyFill="1" applyBorder="1">
      <alignment vertical="center"/>
    </xf>
    <xf numFmtId="14" fontId="13" fillId="14" borderId="32" xfId="0" applyNumberFormat="1" applyFont="1" applyFill="1" applyBorder="1">
      <alignment vertical="center"/>
    </xf>
    <xf numFmtId="14" fontId="13" fillId="0" borderId="0" xfId="0" applyNumberFormat="1" applyFont="1" applyBorder="1">
      <alignment vertical="center"/>
    </xf>
  </cellXfs>
  <cellStyles count="2">
    <cellStyle name="標準" xfId="0" builtinId="0"/>
    <cellStyle name="標準 2" xfId="1" xr:uid="{400476B9-6F9E-4B9B-BA13-859D55D6414B}"/>
  </cellStyles>
  <dxfs count="4"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  <dxf>
      <font>
        <b/>
        <i val="0"/>
      </font>
      <fill>
        <patternFill>
          <bgColor rgb="FFC6EFCE"/>
        </patternFill>
      </fill>
    </dxf>
    <dxf>
      <font>
        <b/>
        <i val="0"/>
      </font>
      <fill>
        <patternFill>
          <bgColor rgb="FFFFEB9C"/>
        </patternFill>
      </fill>
    </dxf>
  </dxfs>
  <tableStyles count="0" defaultTableStyle="TableStyleMedium2" defaultPivotStyle="PivotStyleLight16"/>
  <colors>
    <mruColors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ja-JP" altLang="en-US"/>
              <a:t>合計得点散布図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IndividualAnalysis!$F$15:$F$54</c:f>
              <c:numCache>
                <c:formatCode>General</c:formatCode>
                <c:ptCount val="40"/>
                <c:pt idx="0">
                  <c:v>12</c:v>
                </c:pt>
                <c:pt idx="1">
                  <c:v>75</c:v>
                </c:pt>
                <c:pt idx="2">
                  <c:v>14</c:v>
                </c:pt>
                <c:pt idx="3">
                  <c:v>4</c:v>
                </c:pt>
                <c:pt idx="4">
                  <c:v>76</c:v>
                </c:pt>
                <c:pt idx="5">
                  <c:v>8</c:v>
                </c:pt>
                <c:pt idx="6">
                  <c:v>87</c:v>
                </c:pt>
                <c:pt idx="7">
                  <c:v>91</c:v>
                </c:pt>
                <c:pt idx="8">
                  <c:v>61</c:v>
                </c:pt>
                <c:pt idx="9">
                  <c:v>59</c:v>
                </c:pt>
                <c:pt idx="10">
                  <c:v>14</c:v>
                </c:pt>
                <c:pt idx="11">
                  <c:v>54</c:v>
                </c:pt>
                <c:pt idx="12">
                  <c:v>21</c:v>
                </c:pt>
                <c:pt idx="13">
                  <c:v>77</c:v>
                </c:pt>
                <c:pt idx="14">
                  <c:v>22</c:v>
                </c:pt>
                <c:pt idx="15">
                  <c:v>55</c:v>
                </c:pt>
                <c:pt idx="16">
                  <c:v>69</c:v>
                </c:pt>
                <c:pt idx="17">
                  <c:v>33</c:v>
                </c:pt>
                <c:pt idx="18">
                  <c:v>45</c:v>
                </c:pt>
                <c:pt idx="19">
                  <c:v>100</c:v>
                </c:pt>
                <c:pt idx="20">
                  <c:v>28</c:v>
                </c:pt>
                <c:pt idx="21">
                  <c:v>87</c:v>
                </c:pt>
                <c:pt idx="22">
                  <c:v>98</c:v>
                </c:pt>
                <c:pt idx="23">
                  <c:v>94</c:v>
                </c:pt>
                <c:pt idx="24">
                  <c:v>0</c:v>
                </c:pt>
                <c:pt idx="25">
                  <c:v>35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xVal>
          <c:yVal>
            <c:numRef>
              <c:f>IndividualAnalysis!$K$15:$K$54</c:f>
              <c:numCache>
                <c:formatCode>General</c:formatCode>
                <c:ptCount val="40"/>
                <c:pt idx="0">
                  <c:v>64</c:v>
                </c:pt>
                <c:pt idx="1">
                  <c:v>94</c:v>
                </c:pt>
                <c:pt idx="2">
                  <c:v>76</c:v>
                </c:pt>
                <c:pt idx="3">
                  <c:v>20</c:v>
                </c:pt>
                <c:pt idx="4">
                  <c:v>86</c:v>
                </c:pt>
                <c:pt idx="5">
                  <c:v>44</c:v>
                </c:pt>
                <c:pt idx="6">
                  <c:v>94</c:v>
                </c:pt>
                <c:pt idx="7">
                  <c:v>82</c:v>
                </c:pt>
                <c:pt idx="8">
                  <c:v>38</c:v>
                </c:pt>
                <c:pt idx="9">
                  <c:v>56</c:v>
                </c:pt>
                <c:pt idx="10">
                  <c:v>36</c:v>
                </c:pt>
                <c:pt idx="11">
                  <c:v>88</c:v>
                </c:pt>
                <c:pt idx="12">
                  <c:v>56</c:v>
                </c:pt>
                <c:pt idx="13">
                  <c:v>74</c:v>
                </c:pt>
                <c:pt idx="14">
                  <c:v>46</c:v>
                </c:pt>
                <c:pt idx="15">
                  <c:v>76</c:v>
                </c:pt>
                <c:pt idx="16">
                  <c:v>58</c:v>
                </c:pt>
                <c:pt idx="17">
                  <c:v>48</c:v>
                </c:pt>
                <c:pt idx="18">
                  <c:v>38</c:v>
                </c:pt>
                <c:pt idx="19">
                  <c:v>100</c:v>
                </c:pt>
                <c:pt idx="20">
                  <c:v>54</c:v>
                </c:pt>
                <c:pt idx="21">
                  <c:v>96</c:v>
                </c:pt>
                <c:pt idx="22">
                  <c:v>96</c:v>
                </c:pt>
                <c:pt idx="23">
                  <c:v>88</c:v>
                </c:pt>
                <c:pt idx="24">
                  <c:v>0</c:v>
                </c:pt>
                <c:pt idx="25">
                  <c:v>70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1C-4B3D-9C91-FF54EACC75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781280"/>
        <c:axId val="7778368"/>
      </c:scatterChart>
      <c:valAx>
        <c:axId val="7781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IndividualAnalysis!$C$8</c:f>
              <c:strCache>
                <c:ptCount val="1"/>
                <c:pt idx="0">
                  <c:v>テスト１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78368"/>
        <c:crosses val="autoZero"/>
        <c:crossBetween val="midCat"/>
      </c:valAx>
      <c:valAx>
        <c:axId val="777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IndividualAnalysis!$H$8</c:f>
              <c:strCache>
                <c:ptCount val="1"/>
                <c:pt idx="0">
                  <c:v>テスト２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ja-JP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7781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_xlchart.v1.6</cx:f>
      </cx:numDim>
    </cx:data>
    <cx:data id="1">
      <cx:numDim type="val">
        <cx:f>_xlchart.v1.7</cx:f>
      </cx:numDim>
    </cx:data>
  </cx:chartData>
  <cx:chart>
    <cx:title pos="t" align="ctr" overlay="0">
      <cx:tx>
        <cx:txData>
          <cx:v>合計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合計</a:t>
          </a:r>
        </a:p>
      </cx:txPr>
    </cx:title>
    <cx:plotArea>
      <cx:plotAreaRegion>
        <cx:series layoutId="boxWhisker" uniqueId="{B70C196A-8E5A-41A7-AEA8-0719E6D0D069}">
          <cx:dataId val="0"/>
          <cx:layoutPr>
            <cx:visibility meanLine="0" meanMarker="1" nonoutliers="0" outliers="1"/>
            <cx:statistics quartileMethod="exclusive"/>
          </cx:layoutPr>
        </cx:series>
        <cx:series layoutId="boxWhisker" uniqueId="{00000001-497C-4301-952B-18552DE128C5}">
          <cx:dataId val="1"/>
          <cx:layoutPr>
            <cx:visibility nonoutliers="0"/>
            <cx:statistics quartileMethod="exclusive"/>
          </cx:layoutPr>
        </cx:series>
      </cx:plotAreaRegion>
      <cx:axis id="0" hidden="1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_xlchart.v1.0</cx:f>
      </cx:numDim>
    </cx:data>
    <cx:data id="1">
      <cx:numDim type="val">
        <cx:f>_xlchart.v1.1</cx:f>
      </cx:numDim>
    </cx:data>
    <cx:data id="2">
      <cx:numDim type="val">
        <cx:f>_xlchart.v1.2</cx:f>
      </cx:numDim>
    </cx:data>
    <cx:data id="3">
      <cx:numDim type="val">
        <cx:f>_xlchart.v1.3</cx:f>
      </cx:numDim>
    </cx:data>
    <cx:data id="4">
      <cx:numDim type="val">
        <cx:f>_xlchart.v1.4</cx:f>
      </cx:numDim>
    </cx:data>
    <cx:data id="5">
      <cx:numDim type="val">
        <cx:f>_xlchart.v1.5</cx:f>
      </cx:numDim>
    </cx:data>
  </cx:chartData>
  <cx:chart>
    <cx:title pos="t" align="ctr" overlay="0">
      <cx:tx>
        <cx:txData>
          <cx:v>詳細</cx:v>
        </cx:txData>
      </cx:tx>
      <cx:txPr>
        <a:bodyPr spcFirstLastPara="1" vertOverflow="ellipsis" horzOverflow="overflow" wrap="square" lIns="0" tIns="0" rIns="0" bIns="0" anchor="ctr" anchorCtr="1"/>
        <a:lstStyle/>
        <a:p>
          <a:pPr algn="ctr" rtl="0">
            <a:defRPr/>
          </a:pPr>
          <a:r>
            <a:rPr lang="ja-JP" altLang="en-US" sz="1400" b="0" i="0" u="none" strike="noStrike" baseline="0">
              <a:solidFill>
                <a:sysClr val="windowText" lastClr="000000">
                  <a:lumMod val="65000"/>
                  <a:lumOff val="35000"/>
                </a:sysClr>
              </a:solidFill>
              <a:latin typeface="Calibri" panose="020F0502020204030204"/>
              <a:ea typeface="游ゴシック" panose="020B0400000000000000" pitchFamily="50" charset="-128"/>
            </a:rPr>
            <a:t>詳細</a:t>
          </a:r>
        </a:p>
      </cx:txPr>
    </cx:title>
    <cx:plotArea>
      <cx:plotAreaRegion>
        <cx:series layoutId="boxWhisker" uniqueId="{00000002-3BB5-4536-84CC-996E7747AA14}" formatIdx="0">
          <cx:dataId val="0"/>
          <cx:layoutPr>
            <cx:statistics quartileMethod="exclusive"/>
          </cx:layoutPr>
        </cx:series>
        <cx:series layoutId="boxWhisker" uniqueId="{00000003-3BB5-4536-84CC-996E7747AA14}" formatIdx="1">
          <cx:dataId val="1"/>
          <cx:layoutPr>
            <cx:visibility meanLine="0"/>
            <cx:statistics quartileMethod="exclusive"/>
          </cx:layoutPr>
        </cx:series>
        <cx:series layoutId="boxWhisker" uniqueId="{00000005-3BB5-4536-84CC-996E7747AA14}">
          <cx:dataId val="2"/>
          <cx:layoutPr>
            <cx:statistics quartileMethod="exclusive"/>
          </cx:layoutPr>
        </cx:series>
        <cx:series layoutId="boxWhisker" uniqueId="{00000006-3BB5-4536-84CC-996E7747AA14}">
          <cx:dataId val="3"/>
          <cx:layoutPr>
            <cx:statistics quartileMethod="exclusive"/>
          </cx:layoutPr>
        </cx:series>
        <cx:series layoutId="boxWhisker" uniqueId="{00000007-3BB5-4536-84CC-996E7747AA14}">
          <cx:dataId val="4"/>
          <cx:layoutPr>
            <cx:statistics quartileMethod="exclusive"/>
          </cx:layoutPr>
        </cx:series>
        <cx:series layoutId="boxWhisker" uniqueId="{00000008-3BB5-4536-84CC-996E7747AA14}">
          <cx:dataId val="5"/>
          <cx:layoutPr>
            <cx:statistics quartileMethod="exclusive"/>
          </cx:layoutPr>
        </cx:series>
      </cx:plotAreaRegion>
      <cx:axis id="0">
        <cx:catScaling gapWidth="1"/>
        <cx:title/>
        <cx:tickLabels/>
      </cx:axis>
      <cx:axis id="1">
        <cx:valScaling/>
        <cx:title/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40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>
        <a:solidFill>
          <a:schemeClr val="phClr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fmlaLink="$M$12" lockText="1"/>
</file>

<file path=xl/ctrlProps/ctrlProp6.xml><?xml version="1.0" encoding="utf-8"?>
<formControlPr xmlns="http://schemas.microsoft.com/office/spreadsheetml/2009/9/main" objectType="CheckBox" fmlaLink="$M$14" lockText="1"/>
</file>

<file path=xl/ctrlProps/ctrlProp7.xml><?xml version="1.0" encoding="utf-8"?>
<formControlPr xmlns="http://schemas.microsoft.com/office/spreadsheetml/2009/9/main" objectType="CheckBox" fmlaLink="$M$16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3" Type="http://schemas.microsoft.com/office/2014/relationships/chartEx" Target="../charts/chartEx2.xml"/><Relationship Id="rId2" Type="http://schemas.openxmlformats.org/officeDocument/2006/relationships/chart" Target="../charts/chart1.xml"/><Relationship Id="rId1" Type="http://schemas.microsoft.com/office/2014/relationships/chartEx" Target="../charts/chartEx1.xml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image" Target="../media/image7.emf"/><Relationship Id="rId7" Type="http://schemas.openxmlformats.org/officeDocument/2006/relationships/image" Target="../media/image3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</xdr:colOff>
          <xdr:row>2</xdr:row>
          <xdr:rowOff>0</xdr:rowOff>
        </xdr:from>
        <xdr:to>
          <xdr:col>3</xdr:col>
          <xdr:colOff>438150</xdr:colOff>
          <xdr:row>3</xdr:row>
          <xdr:rowOff>228600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0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名簿登録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7</xdr:row>
          <xdr:rowOff>9525</xdr:rowOff>
        </xdr:from>
        <xdr:to>
          <xdr:col>10</xdr:col>
          <xdr:colOff>9525</xdr:colOff>
          <xdr:row>8</xdr:row>
          <xdr:rowOff>228600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0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</xdr:row>
          <xdr:rowOff>228600</xdr:rowOff>
        </xdr:from>
        <xdr:to>
          <xdr:col>5</xdr:col>
          <xdr:colOff>409575</xdr:colOff>
          <xdr:row>3</xdr:row>
          <xdr:rowOff>219075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0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テスト入力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647700</xdr:colOff>
          <xdr:row>1</xdr:row>
          <xdr:rowOff>228600</xdr:rowOff>
        </xdr:from>
        <xdr:to>
          <xdr:col>6</xdr:col>
          <xdr:colOff>1066800</xdr:colOff>
          <xdr:row>3</xdr:row>
          <xdr:rowOff>219075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0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成績集計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9</xdr:row>
          <xdr:rowOff>0</xdr:rowOff>
        </xdr:from>
        <xdr:to>
          <xdr:col>9</xdr:col>
          <xdr:colOff>333375</xdr:colOff>
          <xdr:row>10</xdr:row>
          <xdr:rowOff>38100</xdr:rowOff>
        </xdr:to>
        <xdr:sp macro="" textlink="">
          <xdr:nvSpPr>
            <xdr:cNvPr id="12294" name="Cb_clipping" hidden="1">
              <a:extLst>
                <a:ext uri="{63B3BB69-23CF-44E3-9099-C40C66FF867C}">
                  <a14:compatExt spid="_x0000_s12294"/>
                </a:ext>
                <a:ext uri="{FF2B5EF4-FFF2-40B4-BE49-F238E27FC236}">
                  <a16:creationId xmlns:a16="http://schemas.microsoft.com/office/drawing/2014/main" id="{00000000-0008-0000-0200-000006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クリッピング処理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85725</xdr:colOff>
          <xdr:row>11</xdr:row>
          <xdr:rowOff>19050</xdr:rowOff>
        </xdr:from>
        <xdr:to>
          <xdr:col>9</xdr:col>
          <xdr:colOff>333375</xdr:colOff>
          <xdr:row>12</xdr:row>
          <xdr:rowOff>38100</xdr:rowOff>
        </xdr:to>
        <xdr:sp macro="" textlink="">
          <xdr:nvSpPr>
            <xdr:cNvPr id="12295" name="Cb_convertScore" hidden="1">
              <a:extLst>
                <a:ext uri="{63B3BB69-23CF-44E3-9099-C40C66FF867C}">
                  <a14:compatExt spid="_x0000_s12295"/>
                </a:ext>
                <a:ext uri="{FF2B5EF4-FFF2-40B4-BE49-F238E27FC236}">
                  <a16:creationId xmlns:a16="http://schemas.microsoft.com/office/drawing/2014/main" id="{00000000-0008-0000-0200-000007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得点変換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371475</xdr:colOff>
          <xdr:row>8</xdr:row>
          <xdr:rowOff>38100</xdr:rowOff>
        </xdr:from>
        <xdr:to>
          <xdr:col>9</xdr:col>
          <xdr:colOff>1381125</xdr:colOff>
          <xdr:row>10</xdr:row>
          <xdr:rowOff>28575</xdr:rowOff>
        </xdr:to>
        <xdr:sp macro="" textlink="">
          <xdr:nvSpPr>
            <xdr:cNvPr id="12296" name="Cb_adjustScore" hidden="1">
              <a:extLst>
                <a:ext uri="{63B3BB69-23CF-44E3-9099-C40C66FF867C}">
                  <a14:compatExt spid="_x0000_s12296"/>
                </a:ext>
                <a:ext uri="{FF2B5EF4-FFF2-40B4-BE49-F238E27FC236}">
                  <a16:creationId xmlns:a16="http://schemas.microsoft.com/office/drawing/2014/main" id="{00000000-0008-0000-0200-000008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2860" rIns="0" bIns="22860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eiryo UI"/>
                  <a:ea typeface="Meiryo UI"/>
                </a:rPr>
                <a:t>得点範囲調整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104775</xdr:colOff>
          <xdr:row>1</xdr:row>
          <xdr:rowOff>28575</xdr:rowOff>
        </xdr:from>
        <xdr:to>
          <xdr:col>9</xdr:col>
          <xdr:colOff>1390650</xdr:colOff>
          <xdr:row>1</xdr:row>
          <xdr:rowOff>523875</xdr:rowOff>
        </xdr:to>
        <xdr:sp macro="" textlink="">
          <xdr:nvSpPr>
            <xdr:cNvPr id="12298" name="Button 10" hidden="1">
              <a:extLst>
                <a:ext uri="{63B3BB69-23CF-44E3-9099-C40C66FF867C}">
                  <a14:compatExt spid="_x0000_s12298"/>
                </a:ext>
                <a:ext uri="{FF2B5EF4-FFF2-40B4-BE49-F238E27FC236}">
                  <a16:creationId xmlns:a16="http://schemas.microsoft.com/office/drawing/2014/main" id="{00000000-0008-0000-0200-00000A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4008" rIns="45720" bIns="64008" anchor="ctr" upright="1"/>
            <a:lstStyle/>
            <a:p>
              <a:pPr algn="ctr" rtl="0">
                <a:defRPr sz="1000"/>
              </a:pPr>
              <a:r>
                <a:rPr lang="ja-JP" altLang="en-US" sz="20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57150</xdr:rowOff>
        </xdr:from>
        <xdr:to>
          <xdr:col>8</xdr:col>
          <xdr:colOff>276225</xdr:colOff>
          <xdr:row>2</xdr:row>
          <xdr:rowOff>142875</xdr:rowOff>
        </xdr:to>
        <xdr:sp macro="" textlink="">
          <xdr:nvSpPr>
            <xdr:cNvPr id="19457" name="CommandButton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</xdr:row>
          <xdr:rowOff>9525</xdr:rowOff>
        </xdr:from>
        <xdr:to>
          <xdr:col>2</xdr:col>
          <xdr:colOff>619125</xdr:colOff>
          <xdr:row>2</xdr:row>
          <xdr:rowOff>285750</xdr:rowOff>
        </xdr:to>
        <xdr:sp macro="" textlink="">
          <xdr:nvSpPr>
            <xdr:cNvPr id="5121" name="Perspective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2</xdr:row>
          <xdr:rowOff>0</xdr:rowOff>
        </xdr:from>
        <xdr:to>
          <xdr:col>6</xdr:col>
          <xdr:colOff>257175</xdr:colOff>
          <xdr:row>2</xdr:row>
          <xdr:rowOff>276225</xdr:rowOff>
        </xdr:to>
        <xdr:sp macro="" textlink="">
          <xdr:nvSpPr>
            <xdr:cNvPr id="5122" name="Perspective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333375</xdr:colOff>
          <xdr:row>2</xdr:row>
          <xdr:rowOff>0</xdr:rowOff>
        </xdr:from>
        <xdr:to>
          <xdr:col>10</xdr:col>
          <xdr:colOff>209550</xdr:colOff>
          <xdr:row>2</xdr:row>
          <xdr:rowOff>276225</xdr:rowOff>
        </xdr:to>
        <xdr:sp macro="" textlink="">
          <xdr:nvSpPr>
            <xdr:cNvPr id="5123" name="Perspective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4" name="Perspective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2</xdr:row>
          <xdr:rowOff>19050</xdr:rowOff>
        </xdr:from>
        <xdr:to>
          <xdr:col>12</xdr:col>
          <xdr:colOff>247650</xdr:colOff>
          <xdr:row>2</xdr:row>
          <xdr:rowOff>295275</xdr:rowOff>
        </xdr:to>
        <xdr:sp macro="" textlink="">
          <xdr:nvSpPr>
            <xdr:cNvPr id="5125" name="Perspective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0</xdr:row>
          <xdr:rowOff>28575</xdr:rowOff>
        </xdr:from>
        <xdr:to>
          <xdr:col>3</xdr:col>
          <xdr:colOff>342900</xdr:colOff>
          <xdr:row>1</xdr:row>
          <xdr:rowOff>200025</xdr:rowOff>
        </xdr:to>
        <xdr:sp macro="" textlink="">
          <xdr:nvSpPr>
            <xdr:cNvPr id="5127" name="Update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28575</xdr:rowOff>
        </xdr:from>
        <xdr:to>
          <xdr:col>6</xdr:col>
          <xdr:colOff>304800</xdr:colOff>
          <xdr:row>1</xdr:row>
          <xdr:rowOff>200025</xdr:rowOff>
        </xdr:to>
        <xdr:sp macro="" textlink="">
          <xdr:nvSpPr>
            <xdr:cNvPr id="5128" name="Delete_Sh_Subject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304800</xdr:colOff>
          <xdr:row>0</xdr:row>
          <xdr:rowOff>28575</xdr:rowOff>
        </xdr:from>
        <xdr:to>
          <xdr:col>9</xdr:col>
          <xdr:colOff>228600</xdr:colOff>
          <xdr:row>1</xdr:row>
          <xdr:rowOff>200025</xdr:rowOff>
        </xdr:to>
        <xdr:sp macro="" textlink="">
          <xdr:nvSpPr>
            <xdr:cNvPr id="5131" name="Ope_result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4</xdr:row>
          <xdr:rowOff>9525</xdr:rowOff>
        </xdr:from>
        <xdr:to>
          <xdr:col>1</xdr:col>
          <xdr:colOff>9525</xdr:colOff>
          <xdr:row>5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3</xdr:row>
          <xdr:rowOff>9525</xdr:rowOff>
        </xdr:from>
        <xdr:to>
          <xdr:col>1</xdr:col>
          <xdr:colOff>9525</xdr:colOff>
          <xdr:row>3</xdr:row>
          <xdr:rowOff>219075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得点調整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28575</xdr:rowOff>
        </xdr:from>
        <xdr:to>
          <xdr:col>1</xdr:col>
          <xdr:colOff>0</xdr:colOff>
          <xdr:row>6</xdr:row>
          <xdr:rowOff>9525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重み正規化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776287</xdr:colOff>
      <xdr:row>7</xdr:row>
      <xdr:rowOff>9525</xdr:rowOff>
    </xdr:from>
    <xdr:to>
      <xdr:col>20</xdr:col>
      <xdr:colOff>295275</xdr:colOff>
      <xdr:row>17</xdr:row>
      <xdr:rowOff>200025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グラフ 1">
              <a:extLst>
                <a:ext uri="{FF2B5EF4-FFF2-40B4-BE49-F238E27FC236}">
                  <a16:creationId xmlns:a16="http://schemas.microsoft.com/office/drawing/2014/main" id="{FD1DFDD5-0C74-4114-8003-36125DE4000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1749087" y="1638300"/>
              <a:ext cx="2471738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  <xdr:twoCellAnchor>
    <xdr:from>
      <xdr:col>12</xdr:col>
      <xdr:colOff>9525</xdr:colOff>
      <xdr:row>17</xdr:row>
      <xdr:rowOff>238124</xdr:rowOff>
    </xdr:from>
    <xdr:to>
      <xdr:col>16</xdr:col>
      <xdr:colOff>704850</xdr:colOff>
      <xdr:row>32</xdr:row>
      <xdr:rowOff>9525</xdr:rowOff>
    </xdr:to>
    <xdr:graphicFrame macro="">
      <xdr:nvGraphicFramePr>
        <xdr:cNvPr id="4" name="グラフ 3">
          <a:extLst>
            <a:ext uri="{FF2B5EF4-FFF2-40B4-BE49-F238E27FC236}">
              <a16:creationId xmlns:a16="http://schemas.microsoft.com/office/drawing/2014/main" id="{1C77290B-EA40-443F-A3E6-4693E8B659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4763</xdr:colOff>
      <xdr:row>7</xdr:row>
      <xdr:rowOff>0</xdr:rowOff>
    </xdr:from>
    <xdr:to>
      <xdr:col>16</xdr:col>
      <xdr:colOff>733425</xdr:colOff>
      <xdr:row>17</xdr:row>
      <xdr:rowOff>190500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5" name="グラフ 4">
              <a:extLst>
                <a:ext uri="{FF2B5EF4-FFF2-40B4-BE49-F238E27FC236}">
                  <a16:creationId xmlns:a16="http://schemas.microsoft.com/office/drawing/2014/main" id="{63D8402B-F462-48E2-BE62-6D74203EFFF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3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7491413" y="1628775"/>
              <a:ext cx="4214812" cy="27527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ja-JP" altLang="en-US" sz="1100"/>
                <a:t>この図は、お使いのバージョンの Excel では利用できません。
この図形を編集するか、このブックを異なるファイル形式に保存すると、グラフが恒久的に壊れます。</a:t>
              </a:r>
            </a:p>
          </xdr:txBody>
        </xdr:sp>
      </mc:Fallback>
    </mc:AlternateContent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57150</xdr:colOff>
          <xdr:row>1</xdr:row>
          <xdr:rowOff>28575</xdr:rowOff>
        </xdr:from>
        <xdr:to>
          <xdr:col>3</xdr:col>
          <xdr:colOff>95250</xdr:colOff>
          <xdr:row>1</xdr:row>
          <xdr:rowOff>666750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  <a:ext uri="{FF2B5EF4-FFF2-40B4-BE49-F238E27FC236}">
                  <a16:creationId xmlns:a16="http://schemas.microsoft.com/office/drawing/2014/main" id="{00000000-0008-0000-0800-0000015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57150</xdr:colOff>
          <xdr:row>1</xdr:row>
          <xdr:rowOff>161925</xdr:rowOff>
        </xdr:from>
        <xdr:to>
          <xdr:col>2</xdr:col>
          <xdr:colOff>142875</xdr:colOff>
          <xdr:row>2</xdr:row>
          <xdr:rowOff>9525</xdr:rowOff>
        </xdr:to>
        <xdr:sp macro="" textlink="">
          <xdr:nvSpPr>
            <xdr:cNvPr id="23553" name="Button 1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9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最終得点計算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276225</xdr:colOff>
          <xdr:row>1</xdr:row>
          <xdr:rowOff>161925</xdr:rowOff>
        </xdr:from>
        <xdr:to>
          <xdr:col>4</xdr:col>
          <xdr:colOff>295275</xdr:colOff>
          <xdr:row>2</xdr:row>
          <xdr:rowOff>9525</xdr:rowOff>
        </xdr:to>
        <xdr:sp macro="" textlink="">
          <xdr:nvSpPr>
            <xdr:cNvPr id="23554" name="Button 2" hidden="1">
              <a:extLst>
                <a:ext uri="{63B3BB69-23CF-44E3-9099-C40C66FF867C}">
                  <a14:compatExt spid="_x0000_s23554"/>
                </a:ext>
                <a:ext uri="{FF2B5EF4-FFF2-40B4-BE49-F238E27FC236}">
                  <a16:creationId xmlns:a16="http://schemas.microsoft.com/office/drawing/2014/main" id="{00000000-0008-0000-0900-000002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追試回追加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457200</xdr:colOff>
          <xdr:row>1</xdr:row>
          <xdr:rowOff>161925</xdr:rowOff>
        </xdr:from>
        <xdr:to>
          <xdr:col>6</xdr:col>
          <xdr:colOff>400050</xdr:colOff>
          <xdr:row>2</xdr:row>
          <xdr:rowOff>9525</xdr:rowOff>
        </xdr:to>
        <xdr:sp macro="" textlink="">
          <xdr:nvSpPr>
            <xdr:cNvPr id="23555" name="Button 3" hidden="1">
              <a:extLst>
                <a:ext uri="{63B3BB69-23CF-44E3-9099-C40C66FF867C}">
                  <a14:compatExt spid="_x0000_s23555"/>
                </a:ext>
                <a:ext uri="{FF2B5EF4-FFF2-40B4-BE49-F238E27FC236}">
                  <a16:creationId xmlns:a16="http://schemas.microsoft.com/office/drawing/2014/main" id="{00000000-0008-0000-0900-000003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追試完了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4</xdr:row>
          <xdr:rowOff>0</xdr:rowOff>
        </xdr:from>
        <xdr:to>
          <xdr:col>3</xdr:col>
          <xdr:colOff>676275</xdr:colOff>
          <xdr:row>4</xdr:row>
          <xdr:rowOff>228600</xdr:rowOff>
        </xdr:to>
        <xdr:sp macro="" textlink="">
          <xdr:nvSpPr>
            <xdr:cNvPr id="23557" name="Button 5" hidden="1">
              <a:extLst>
                <a:ext uri="{63B3BB69-23CF-44E3-9099-C40C66FF867C}">
                  <a14:compatExt spid="_x0000_s23557"/>
                </a:ext>
                <a:ext uri="{FF2B5EF4-FFF2-40B4-BE49-F238E27FC236}">
                  <a16:creationId xmlns:a16="http://schemas.microsoft.com/office/drawing/2014/main" id="{00000000-0008-0000-0900-000005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算出方法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13" Type="http://schemas.openxmlformats.org/officeDocument/2006/relationships/image" Target="../media/image6.emf"/><Relationship Id="rId18" Type="http://schemas.openxmlformats.org/officeDocument/2006/relationships/control" Target="../activeX/activeX9.xml"/><Relationship Id="rId3" Type="http://schemas.openxmlformats.org/officeDocument/2006/relationships/vmlDrawing" Target="../drawings/vmlDrawing4.vml"/><Relationship Id="rId21" Type="http://schemas.openxmlformats.org/officeDocument/2006/relationships/ctrlProp" Target="../ctrlProps/ctrlProp10.xml"/><Relationship Id="rId7" Type="http://schemas.openxmlformats.org/officeDocument/2006/relationships/image" Target="../media/image3.emf"/><Relationship Id="rId12" Type="http://schemas.openxmlformats.org/officeDocument/2006/relationships/control" Target="../activeX/activeX6.xml"/><Relationship Id="rId17" Type="http://schemas.openxmlformats.org/officeDocument/2006/relationships/image" Target="../media/image8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8.xml"/><Relationship Id="rId20" Type="http://schemas.openxmlformats.org/officeDocument/2006/relationships/ctrlProp" Target="../ctrlProps/ctrlProp9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5" Type="http://schemas.openxmlformats.org/officeDocument/2006/relationships/image" Target="../media/image7.emf"/><Relationship Id="rId10" Type="http://schemas.openxmlformats.org/officeDocument/2006/relationships/control" Target="../activeX/activeX5.xml"/><Relationship Id="rId19" Type="http://schemas.openxmlformats.org/officeDocument/2006/relationships/image" Target="../media/image9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Relationship Id="rId14" Type="http://schemas.openxmlformats.org/officeDocument/2006/relationships/control" Target="../activeX/activeX7.xml"/><Relationship Id="rId22" Type="http://schemas.openxmlformats.org/officeDocument/2006/relationships/ctrlProp" Target="../ctrlProps/ctrlProp1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A62496-9EA1-4B76-884B-659768599973}">
  <sheetPr codeName="sh_MENU">
    <tabColor rgb="FF4472C4"/>
  </sheetPr>
  <dimension ref="A1:M54"/>
  <sheetViews>
    <sheetView workbookViewId="0">
      <selection activeCell="B11" sqref="B11"/>
    </sheetView>
  </sheetViews>
  <sheetFormatPr defaultRowHeight="16.5" x14ac:dyDescent="0.4"/>
  <cols>
    <col min="1" max="1" width="3.625" style="100" customWidth="1"/>
    <col min="2" max="2" width="12.625" style="100" customWidth="1"/>
    <col min="3" max="5" width="8.625" style="100" customWidth="1"/>
    <col min="6" max="6" width="10.625" style="100" customWidth="1"/>
    <col min="7" max="7" width="18.625" style="100" customWidth="1"/>
    <col min="8" max="8" width="12.625" style="100" customWidth="1"/>
    <col min="9" max="10" width="8.625" style="100" customWidth="1"/>
    <col min="11" max="12" width="0" style="100" hidden="1" customWidth="1"/>
    <col min="13" max="16384" width="9" style="100"/>
  </cols>
  <sheetData>
    <row r="1" spans="1:13" ht="25.5" x14ac:dyDescent="0.4">
      <c r="A1" s="102" t="s">
        <v>64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101"/>
    </row>
    <row r="9" spans="1:13" ht="17.25" thickBot="1" x14ac:dyDescent="0.45">
      <c r="A9" s="107"/>
      <c r="B9" s="107"/>
      <c r="C9" s="107"/>
      <c r="D9" s="107"/>
      <c r="E9" s="107"/>
      <c r="F9" s="107"/>
      <c r="G9" s="107"/>
      <c r="H9" s="107"/>
      <c r="I9" s="107"/>
      <c r="J9" s="107"/>
      <c r="K9" s="107"/>
      <c r="L9" s="107"/>
    </row>
    <row r="10" spans="1:13" x14ac:dyDescent="0.4">
      <c r="B10" s="105" t="s">
        <v>188</v>
      </c>
      <c r="C10" s="105" t="s">
        <v>92</v>
      </c>
      <c r="D10" s="105" t="s">
        <v>93</v>
      </c>
      <c r="E10" s="105" t="s">
        <v>0</v>
      </c>
      <c r="F10" s="105" t="s">
        <v>2</v>
      </c>
      <c r="G10" s="105" t="s">
        <v>100</v>
      </c>
      <c r="H10" s="105" t="s">
        <v>83</v>
      </c>
      <c r="I10" s="106" t="s">
        <v>101</v>
      </c>
      <c r="J10" s="105" t="s">
        <v>3</v>
      </c>
      <c r="K10" s="105" t="s">
        <v>102</v>
      </c>
      <c r="L10" s="105" t="s">
        <v>103</v>
      </c>
    </row>
    <row r="11" spans="1:13" x14ac:dyDescent="0.4">
      <c r="B11" s="146">
        <v>10010008</v>
      </c>
      <c r="C11" s="146" t="s">
        <v>121</v>
      </c>
      <c r="D11" s="146" t="s">
        <v>122</v>
      </c>
      <c r="E11" s="146" t="s">
        <v>29</v>
      </c>
      <c r="F11" s="146" t="s">
        <v>30</v>
      </c>
      <c r="G11" s="146" t="s">
        <v>158</v>
      </c>
      <c r="H11" s="146"/>
      <c r="I11" s="104"/>
      <c r="J11" s="146">
        <v>100</v>
      </c>
      <c r="K11" s="146">
        <v>30</v>
      </c>
      <c r="L11" s="146">
        <v>4</v>
      </c>
    </row>
    <row r="12" spans="1:13" x14ac:dyDescent="0.4">
      <c r="B12" s="146">
        <v>10010021</v>
      </c>
      <c r="C12" s="146" t="s">
        <v>142</v>
      </c>
      <c r="D12" s="146" t="s">
        <v>143</v>
      </c>
      <c r="E12" s="146" t="s">
        <v>163</v>
      </c>
      <c r="F12" s="146" t="s">
        <v>165</v>
      </c>
      <c r="G12" s="146" t="s">
        <v>161</v>
      </c>
      <c r="H12" s="146"/>
      <c r="I12" s="104"/>
      <c r="J12" s="146">
        <v>100</v>
      </c>
      <c r="K12" s="146">
        <v>43</v>
      </c>
      <c r="L12" s="146">
        <v>7</v>
      </c>
    </row>
    <row r="13" spans="1:13" x14ac:dyDescent="0.4">
      <c r="B13" s="146">
        <v>10010025</v>
      </c>
      <c r="C13" s="146" t="s">
        <v>148</v>
      </c>
      <c r="D13" s="146" t="s">
        <v>149</v>
      </c>
      <c r="E13" s="146" t="s">
        <v>175</v>
      </c>
      <c r="F13" s="146" t="s">
        <v>30</v>
      </c>
      <c r="G13" s="146" t="s">
        <v>173</v>
      </c>
      <c r="H13" s="146"/>
      <c r="I13" s="104"/>
      <c r="J13" s="146">
        <v>100</v>
      </c>
      <c r="K13" s="146">
        <v>47</v>
      </c>
      <c r="L13" s="146">
        <v>12</v>
      </c>
    </row>
    <row r="14" spans="1:13" x14ac:dyDescent="0.4">
      <c r="B14" s="146">
        <v>10010015</v>
      </c>
      <c r="C14" s="146" t="s">
        <v>134</v>
      </c>
      <c r="D14" s="146" t="s">
        <v>124</v>
      </c>
      <c r="E14" s="146" t="s">
        <v>29</v>
      </c>
      <c r="F14" s="146" t="s">
        <v>30</v>
      </c>
      <c r="G14" s="146" t="s">
        <v>177</v>
      </c>
      <c r="H14" s="146"/>
      <c r="I14" s="104"/>
      <c r="J14" s="146">
        <v>130</v>
      </c>
      <c r="K14" s="146">
        <v>37</v>
      </c>
      <c r="L14" s="146">
        <v>14</v>
      </c>
    </row>
    <row r="15" spans="1:13" x14ac:dyDescent="0.4">
      <c r="B15" s="147"/>
      <c r="C15" s="147"/>
      <c r="D15" s="147"/>
      <c r="E15" s="147"/>
      <c r="F15" s="147"/>
      <c r="G15" s="147"/>
      <c r="H15" s="147"/>
      <c r="I15" s="147"/>
      <c r="J15" s="147"/>
      <c r="K15" s="147"/>
      <c r="L15" s="147"/>
    </row>
    <row r="16" spans="1:13" x14ac:dyDescent="0.4">
      <c r="B16" s="147"/>
      <c r="C16" s="147"/>
      <c r="D16" s="147"/>
      <c r="E16" s="147"/>
      <c r="F16" s="147"/>
      <c r="G16" s="147"/>
      <c r="H16" s="147"/>
      <c r="I16" s="147"/>
      <c r="J16" s="147"/>
      <c r="K16" s="147"/>
      <c r="L16" s="147"/>
    </row>
    <row r="17" spans="2:12" x14ac:dyDescent="0.4">
      <c r="B17" s="147"/>
      <c r="C17" s="147"/>
      <c r="D17" s="147"/>
      <c r="E17" s="147"/>
      <c r="F17" s="147"/>
      <c r="G17" s="147"/>
      <c r="H17" s="147"/>
      <c r="I17" s="147"/>
      <c r="J17" s="147"/>
      <c r="K17" s="147"/>
      <c r="L17" s="147"/>
    </row>
    <row r="18" spans="2:12" x14ac:dyDescent="0.4">
      <c r="B18" s="147"/>
      <c r="C18" s="147"/>
      <c r="D18" s="147"/>
      <c r="E18" s="147"/>
      <c r="F18" s="147"/>
      <c r="G18" s="147"/>
      <c r="H18" s="147"/>
      <c r="I18" s="147"/>
      <c r="J18" s="147"/>
      <c r="K18" s="147"/>
      <c r="L18" s="147"/>
    </row>
    <row r="19" spans="2:12" x14ac:dyDescent="0.4">
      <c r="B19" s="147"/>
      <c r="C19" s="147"/>
      <c r="D19" s="147"/>
      <c r="E19" s="147"/>
      <c r="F19" s="147"/>
      <c r="G19" s="147"/>
      <c r="H19" s="147"/>
      <c r="I19" s="147"/>
      <c r="J19" s="147"/>
      <c r="K19" s="147"/>
      <c r="L19" s="147"/>
    </row>
    <row r="20" spans="2:12" x14ac:dyDescent="0.4">
      <c r="B20" s="147"/>
      <c r="C20" s="147"/>
      <c r="D20" s="147"/>
      <c r="E20" s="147"/>
      <c r="F20" s="147"/>
      <c r="G20" s="147"/>
      <c r="H20" s="147"/>
      <c r="I20" s="147"/>
      <c r="J20" s="147"/>
      <c r="K20" s="147"/>
      <c r="L20" s="147"/>
    </row>
    <row r="21" spans="2:12" x14ac:dyDescent="0.4">
      <c r="B21" s="147"/>
      <c r="C21" s="147"/>
      <c r="D21" s="147"/>
      <c r="E21" s="147"/>
      <c r="F21" s="147"/>
      <c r="G21" s="147"/>
      <c r="H21" s="147"/>
      <c r="I21" s="147"/>
      <c r="J21" s="147"/>
      <c r="K21" s="147"/>
      <c r="L21" s="147"/>
    </row>
    <row r="22" spans="2:12" x14ac:dyDescent="0.4">
      <c r="B22" s="147"/>
      <c r="C22" s="147"/>
      <c r="D22" s="147"/>
      <c r="E22" s="147"/>
      <c r="F22" s="147"/>
      <c r="G22" s="147"/>
      <c r="H22" s="147"/>
      <c r="I22" s="147"/>
      <c r="J22" s="147"/>
      <c r="K22" s="147"/>
      <c r="L22" s="147"/>
    </row>
    <row r="23" spans="2:12" x14ac:dyDescent="0.4">
      <c r="B23" s="147"/>
      <c r="C23" s="147"/>
      <c r="D23" s="147"/>
      <c r="E23" s="147"/>
      <c r="F23" s="147"/>
      <c r="G23" s="147"/>
      <c r="H23" s="147"/>
      <c r="I23" s="147"/>
      <c r="J23" s="147"/>
      <c r="K23" s="147"/>
      <c r="L23" s="147"/>
    </row>
    <row r="24" spans="2:12" x14ac:dyDescent="0.4">
      <c r="B24" s="147"/>
      <c r="C24" s="147"/>
      <c r="D24" s="147"/>
      <c r="E24" s="147"/>
      <c r="F24" s="147"/>
      <c r="G24" s="147"/>
      <c r="H24" s="147"/>
      <c r="I24" s="147"/>
      <c r="J24" s="147"/>
      <c r="K24" s="147"/>
      <c r="L24" s="147"/>
    </row>
    <row r="25" spans="2:12" x14ac:dyDescent="0.4">
      <c r="B25" s="147"/>
      <c r="C25" s="147"/>
      <c r="D25" s="147"/>
      <c r="E25" s="147"/>
      <c r="F25" s="147"/>
      <c r="G25" s="147"/>
      <c r="H25" s="147"/>
      <c r="I25" s="147"/>
      <c r="J25" s="147"/>
      <c r="K25" s="147"/>
      <c r="L25" s="147"/>
    </row>
    <row r="26" spans="2:12" x14ac:dyDescent="0.4">
      <c r="B26" s="147"/>
      <c r="C26" s="147"/>
      <c r="D26" s="147"/>
      <c r="E26" s="147"/>
      <c r="F26" s="147"/>
      <c r="G26" s="147"/>
      <c r="H26" s="147"/>
      <c r="I26" s="147"/>
      <c r="J26" s="147"/>
      <c r="K26" s="147"/>
      <c r="L26" s="147"/>
    </row>
    <row r="27" spans="2:12" x14ac:dyDescent="0.4">
      <c r="B27" s="147"/>
      <c r="C27" s="147"/>
      <c r="D27" s="147"/>
      <c r="E27" s="147"/>
      <c r="F27" s="147"/>
      <c r="G27" s="147"/>
      <c r="H27" s="147"/>
      <c r="I27" s="147"/>
      <c r="J27" s="147"/>
      <c r="K27" s="147"/>
      <c r="L27" s="147"/>
    </row>
    <row r="28" spans="2:12" x14ac:dyDescent="0.4">
      <c r="B28" s="147"/>
      <c r="C28" s="147"/>
      <c r="D28" s="147"/>
      <c r="E28" s="147"/>
      <c r="F28" s="147"/>
      <c r="G28" s="147"/>
      <c r="H28" s="147"/>
      <c r="I28" s="147"/>
      <c r="J28" s="147"/>
      <c r="K28" s="147"/>
      <c r="L28" s="147"/>
    </row>
    <row r="29" spans="2:12" x14ac:dyDescent="0.4">
      <c r="B29" s="147"/>
      <c r="C29" s="147"/>
      <c r="D29" s="147"/>
      <c r="E29" s="147"/>
      <c r="F29" s="147"/>
      <c r="G29" s="147"/>
      <c r="H29" s="147"/>
      <c r="I29" s="147"/>
      <c r="J29" s="147"/>
      <c r="K29" s="147"/>
      <c r="L29" s="147"/>
    </row>
    <row r="30" spans="2:12" x14ac:dyDescent="0.4">
      <c r="B30" s="147"/>
      <c r="C30" s="147"/>
      <c r="D30" s="147"/>
      <c r="E30" s="147"/>
      <c r="F30" s="147"/>
      <c r="G30" s="147"/>
      <c r="H30" s="147"/>
      <c r="I30" s="147"/>
      <c r="J30" s="147"/>
      <c r="K30" s="147"/>
      <c r="L30" s="147"/>
    </row>
    <row r="31" spans="2:12" x14ac:dyDescent="0.4">
      <c r="B31" s="147"/>
      <c r="C31" s="147"/>
      <c r="D31" s="147"/>
      <c r="E31" s="147"/>
      <c r="F31" s="147"/>
      <c r="G31" s="147"/>
      <c r="H31" s="147"/>
      <c r="I31" s="147"/>
      <c r="J31" s="147"/>
      <c r="K31" s="147"/>
      <c r="L31" s="147"/>
    </row>
    <row r="32" spans="2:12" x14ac:dyDescent="0.4">
      <c r="B32" s="147"/>
      <c r="C32" s="147"/>
      <c r="D32" s="147"/>
      <c r="E32" s="147"/>
      <c r="F32" s="147"/>
      <c r="G32" s="147"/>
      <c r="H32" s="147"/>
      <c r="I32" s="147"/>
      <c r="J32" s="147"/>
      <c r="K32" s="147"/>
      <c r="L32" s="147"/>
    </row>
    <row r="33" spans="2:12" x14ac:dyDescent="0.4">
      <c r="B33" s="147"/>
      <c r="C33" s="147"/>
      <c r="D33" s="147"/>
      <c r="E33" s="147"/>
      <c r="F33" s="147"/>
      <c r="G33" s="147"/>
      <c r="H33" s="147"/>
      <c r="I33" s="147"/>
      <c r="J33" s="147"/>
      <c r="K33" s="147"/>
      <c r="L33" s="147"/>
    </row>
    <row r="34" spans="2:12" x14ac:dyDescent="0.4">
      <c r="B34" s="147"/>
      <c r="C34" s="147"/>
      <c r="D34" s="147"/>
      <c r="E34" s="147"/>
      <c r="F34" s="147"/>
      <c r="G34" s="147"/>
      <c r="H34" s="147"/>
      <c r="I34" s="147"/>
      <c r="J34" s="147"/>
      <c r="K34" s="147"/>
      <c r="L34" s="147"/>
    </row>
    <row r="35" spans="2:12" x14ac:dyDescent="0.4">
      <c r="B35" s="147"/>
      <c r="C35" s="147"/>
      <c r="D35" s="147"/>
      <c r="E35" s="147"/>
      <c r="F35" s="147"/>
      <c r="G35" s="147"/>
      <c r="H35" s="147"/>
      <c r="I35" s="147"/>
      <c r="J35" s="147"/>
      <c r="K35" s="147"/>
      <c r="L35" s="147"/>
    </row>
    <row r="36" spans="2:12" x14ac:dyDescent="0.4">
      <c r="B36" s="147"/>
      <c r="C36" s="147"/>
      <c r="D36" s="147"/>
      <c r="E36" s="147"/>
      <c r="F36" s="147"/>
      <c r="G36" s="147"/>
      <c r="H36" s="147"/>
      <c r="I36" s="147"/>
      <c r="J36" s="147"/>
      <c r="K36" s="147"/>
      <c r="L36" s="147"/>
    </row>
    <row r="37" spans="2:12" x14ac:dyDescent="0.4">
      <c r="B37" s="147"/>
      <c r="C37" s="147"/>
      <c r="D37" s="147"/>
      <c r="E37" s="147"/>
      <c r="F37" s="147"/>
      <c r="G37" s="147"/>
      <c r="H37" s="147"/>
      <c r="I37" s="147"/>
      <c r="J37" s="147"/>
      <c r="K37" s="147"/>
      <c r="L37" s="147"/>
    </row>
    <row r="38" spans="2:12" x14ac:dyDescent="0.4">
      <c r="B38" s="147"/>
      <c r="C38" s="147"/>
      <c r="D38" s="147"/>
      <c r="E38" s="147"/>
      <c r="F38" s="147"/>
      <c r="G38" s="147"/>
      <c r="H38" s="147"/>
      <c r="I38" s="147"/>
      <c r="J38" s="147"/>
      <c r="K38" s="147"/>
      <c r="L38" s="147"/>
    </row>
    <row r="39" spans="2:12" x14ac:dyDescent="0.4">
      <c r="B39" s="147"/>
      <c r="C39" s="147"/>
      <c r="D39" s="147"/>
      <c r="E39" s="147"/>
      <c r="F39" s="147"/>
      <c r="G39" s="147"/>
      <c r="H39" s="147"/>
      <c r="I39" s="147"/>
      <c r="J39" s="147"/>
      <c r="K39" s="147"/>
      <c r="L39" s="147"/>
    </row>
    <row r="40" spans="2:12" x14ac:dyDescent="0.4">
      <c r="B40" s="147"/>
      <c r="C40" s="147"/>
      <c r="D40" s="147"/>
      <c r="E40" s="147"/>
      <c r="F40" s="147"/>
      <c r="G40" s="147"/>
      <c r="H40" s="147"/>
      <c r="I40" s="147"/>
      <c r="J40" s="147"/>
      <c r="K40" s="147"/>
      <c r="L40" s="147"/>
    </row>
    <row r="41" spans="2:12" x14ac:dyDescent="0.4">
      <c r="B41" s="147"/>
      <c r="C41" s="147"/>
      <c r="D41" s="147"/>
      <c r="E41" s="147"/>
      <c r="F41" s="147"/>
      <c r="G41" s="147"/>
      <c r="H41" s="147"/>
      <c r="I41" s="147"/>
      <c r="J41" s="147"/>
      <c r="K41" s="147"/>
      <c r="L41" s="147"/>
    </row>
    <row r="42" spans="2:12" x14ac:dyDescent="0.4">
      <c r="B42" s="147"/>
      <c r="C42" s="147"/>
      <c r="D42" s="147"/>
      <c r="E42" s="147"/>
      <c r="F42" s="147"/>
      <c r="G42" s="147"/>
      <c r="H42" s="147"/>
      <c r="I42" s="147"/>
      <c r="J42" s="147"/>
      <c r="K42" s="147"/>
      <c r="L42" s="147"/>
    </row>
    <row r="43" spans="2:12" x14ac:dyDescent="0.4">
      <c r="B43" s="147"/>
      <c r="C43" s="147"/>
      <c r="D43" s="147"/>
      <c r="E43" s="147"/>
      <c r="F43" s="147"/>
      <c r="G43" s="147"/>
      <c r="H43" s="147"/>
      <c r="I43" s="147"/>
      <c r="J43" s="147"/>
      <c r="K43" s="147"/>
      <c r="L43" s="147"/>
    </row>
    <row r="44" spans="2:12" x14ac:dyDescent="0.4">
      <c r="B44" s="147"/>
      <c r="C44" s="147"/>
      <c r="D44" s="147"/>
      <c r="E44" s="147"/>
      <c r="F44" s="147"/>
      <c r="G44" s="147"/>
      <c r="H44" s="147"/>
      <c r="I44" s="147"/>
      <c r="J44" s="147"/>
      <c r="K44" s="147"/>
      <c r="L44" s="147"/>
    </row>
    <row r="45" spans="2:12" x14ac:dyDescent="0.4">
      <c r="B45" s="147"/>
      <c r="C45" s="147"/>
      <c r="D45" s="147"/>
      <c r="E45" s="147"/>
      <c r="F45" s="147"/>
      <c r="G45" s="147"/>
      <c r="H45" s="147"/>
      <c r="I45" s="147"/>
      <c r="J45" s="147"/>
      <c r="K45" s="147"/>
      <c r="L45" s="147"/>
    </row>
    <row r="46" spans="2:12" x14ac:dyDescent="0.4">
      <c r="B46" s="147"/>
      <c r="C46" s="147"/>
      <c r="D46" s="147"/>
      <c r="E46" s="147"/>
      <c r="F46" s="147"/>
      <c r="G46" s="147"/>
      <c r="H46" s="147"/>
      <c r="I46" s="147"/>
      <c r="J46" s="147"/>
      <c r="K46" s="147"/>
      <c r="L46" s="147"/>
    </row>
    <row r="47" spans="2:12" x14ac:dyDescent="0.4">
      <c r="B47" s="147"/>
      <c r="C47" s="147"/>
      <c r="D47" s="147"/>
      <c r="E47" s="147"/>
      <c r="F47" s="147"/>
      <c r="G47" s="147"/>
      <c r="H47" s="147"/>
      <c r="I47" s="147"/>
      <c r="J47" s="147"/>
      <c r="K47" s="147"/>
      <c r="L47" s="147"/>
    </row>
    <row r="48" spans="2:12" x14ac:dyDescent="0.4">
      <c r="B48" s="147"/>
      <c r="C48" s="147"/>
      <c r="D48" s="147"/>
      <c r="E48" s="147"/>
      <c r="F48" s="147"/>
      <c r="G48" s="147"/>
      <c r="H48" s="147"/>
      <c r="I48" s="147"/>
      <c r="J48" s="147"/>
      <c r="K48" s="147"/>
      <c r="L48" s="147"/>
    </row>
    <row r="49" spans="2:12" x14ac:dyDescent="0.4">
      <c r="B49" s="147"/>
      <c r="C49" s="147"/>
      <c r="D49" s="147"/>
      <c r="E49" s="147"/>
      <c r="F49" s="147"/>
      <c r="G49" s="147"/>
      <c r="H49" s="147"/>
      <c r="I49" s="147"/>
      <c r="J49" s="147"/>
      <c r="K49" s="147"/>
      <c r="L49" s="147"/>
    </row>
    <row r="50" spans="2:12" x14ac:dyDescent="0.4">
      <c r="B50" s="147"/>
      <c r="C50" s="147"/>
      <c r="D50" s="147"/>
      <c r="E50" s="147"/>
      <c r="F50" s="147"/>
      <c r="G50" s="147"/>
      <c r="H50" s="147"/>
      <c r="I50" s="147"/>
      <c r="J50" s="147"/>
      <c r="K50" s="147"/>
      <c r="L50" s="147"/>
    </row>
    <row r="51" spans="2:12" x14ac:dyDescent="0.4">
      <c r="B51" s="147"/>
      <c r="C51" s="147"/>
      <c r="D51" s="147"/>
      <c r="E51" s="147"/>
      <c r="F51" s="147"/>
      <c r="G51" s="147"/>
      <c r="H51" s="147"/>
      <c r="I51" s="147"/>
      <c r="J51" s="147"/>
      <c r="K51" s="147"/>
      <c r="L51" s="147"/>
    </row>
    <row r="52" spans="2:12" x14ac:dyDescent="0.4">
      <c r="B52" s="147"/>
      <c r="C52" s="147"/>
      <c r="D52" s="147"/>
      <c r="E52" s="147"/>
      <c r="F52" s="147"/>
      <c r="G52" s="147"/>
      <c r="H52" s="147"/>
      <c r="I52" s="147"/>
      <c r="J52" s="147"/>
      <c r="K52" s="147"/>
      <c r="L52" s="147"/>
    </row>
    <row r="53" spans="2:12" x14ac:dyDescent="0.4">
      <c r="B53" s="147"/>
      <c r="C53" s="147"/>
      <c r="D53" s="147"/>
      <c r="E53" s="147"/>
      <c r="F53" s="147"/>
      <c r="G53" s="147"/>
      <c r="H53" s="147"/>
      <c r="I53" s="147"/>
      <c r="J53" s="147"/>
      <c r="K53" s="147"/>
      <c r="L53" s="147"/>
    </row>
    <row r="54" spans="2:12" x14ac:dyDescent="0.4">
      <c r="B54" s="147"/>
      <c r="C54" s="147"/>
      <c r="D54" s="147"/>
      <c r="E54" s="147"/>
      <c r="F54" s="147"/>
      <c r="G54" s="147"/>
      <c r="H54" s="147"/>
      <c r="I54" s="147"/>
      <c r="J54" s="147"/>
      <c r="K54" s="147"/>
      <c r="L54" s="1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elect_sh_namelist">
                <anchor moveWithCells="1" sizeWithCells="1">
                  <from>
                    <xdr:col>2</xdr:col>
                    <xdr:colOff>19050</xdr:colOff>
                    <xdr:row>2</xdr:row>
                    <xdr:rowOff>0</xdr:rowOff>
                  </from>
                  <to>
                    <xdr:col>3</xdr:col>
                    <xdr:colOff>438150</xdr:colOff>
                    <xdr:row>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ransferFromMenu">
                <anchor moveWithCells="1" sizeWithCells="1">
                  <from>
                    <xdr:col>8</xdr:col>
                    <xdr:colOff>57150</xdr:colOff>
                    <xdr:row>7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select_sh_input">
                <anchor moveWithCells="1" sizeWithCells="1">
                  <from>
                    <xdr:col>3</xdr:col>
                    <xdr:colOff>676275</xdr:colOff>
                    <xdr:row>1</xdr:row>
                    <xdr:rowOff>228600</xdr:rowOff>
                  </from>
                  <to>
                    <xdr:col>5</xdr:col>
                    <xdr:colOff>409575</xdr:colOff>
                    <xdr:row>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select_sh_subject">
                <anchor moveWithCells="1" sizeWithCells="1">
                  <from>
                    <xdr:col>5</xdr:col>
                    <xdr:colOff>647700</xdr:colOff>
                    <xdr:row>1</xdr:row>
                    <xdr:rowOff>228600</xdr:rowOff>
                  </from>
                  <to>
                    <xdr:col>6</xdr:col>
                    <xdr:colOff>1066800</xdr:colOff>
                    <xdr:row>3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1C69EF-21C7-4BFC-A19B-1AD160ADFD91}">
  <sheetPr codeName="sh_namelist">
    <tabColor rgb="FF4472C4"/>
  </sheetPr>
  <dimension ref="A1:F50"/>
  <sheetViews>
    <sheetView workbookViewId="0">
      <selection activeCell="A10" sqref="A10"/>
    </sheetView>
  </sheetViews>
  <sheetFormatPr defaultRowHeight="16.5" x14ac:dyDescent="0.4"/>
  <cols>
    <col min="1" max="1" width="8.75" style="100" customWidth="1"/>
    <col min="2" max="3" width="8.625" style="100" customWidth="1"/>
    <col min="4" max="4" width="9" style="100"/>
    <col min="5" max="5" width="11" style="100" customWidth="1"/>
    <col min="6" max="6" width="10.125" style="100" customWidth="1"/>
    <col min="7" max="16384" width="9" style="100"/>
  </cols>
  <sheetData>
    <row r="1" spans="1:6" ht="24" x14ac:dyDescent="0.4">
      <c r="A1" s="125" t="s">
        <v>96</v>
      </c>
      <c r="B1" s="101"/>
      <c r="C1" s="101"/>
      <c r="D1" s="101"/>
      <c r="E1" s="101"/>
      <c r="F1" s="101"/>
    </row>
    <row r="8" spans="1:6" ht="19.5" x14ac:dyDescent="0.4">
      <c r="D8" s="137" t="s">
        <v>97</v>
      </c>
      <c r="E8" s="151">
        <f>COUNTA($B$11:$B$50)</f>
        <v>30</v>
      </c>
    </row>
    <row r="10" spans="1:6" x14ac:dyDescent="0.4">
      <c r="A10" s="149"/>
      <c r="B10" s="149" t="s">
        <v>91</v>
      </c>
      <c r="C10" s="149" t="s">
        <v>92</v>
      </c>
      <c r="D10" s="149" t="s">
        <v>93</v>
      </c>
      <c r="E10" s="149" t="s">
        <v>94</v>
      </c>
      <c r="F10" s="149" t="s">
        <v>95</v>
      </c>
    </row>
    <row r="11" spans="1:6" x14ac:dyDescent="0.4">
      <c r="A11" s="138"/>
      <c r="B11" s="138">
        <v>10010001</v>
      </c>
      <c r="C11" s="138" t="s">
        <v>109</v>
      </c>
      <c r="D11" s="138" t="s">
        <v>110</v>
      </c>
      <c r="E11" s="152">
        <v>45748</v>
      </c>
      <c r="F11" s="138"/>
    </row>
    <row r="12" spans="1:6" x14ac:dyDescent="0.4">
      <c r="A12" s="153"/>
      <c r="B12" s="153">
        <v>10010002</v>
      </c>
      <c r="C12" s="153" t="s">
        <v>111</v>
      </c>
      <c r="D12" s="153" t="s">
        <v>112</v>
      </c>
      <c r="E12" s="154">
        <v>45748</v>
      </c>
      <c r="F12" s="153"/>
    </row>
    <row r="13" spans="1:6" x14ac:dyDescent="0.4">
      <c r="A13" s="138"/>
      <c r="B13" s="138">
        <v>10010003</v>
      </c>
      <c r="C13" s="138" t="s">
        <v>113</v>
      </c>
      <c r="D13" s="138" t="s">
        <v>114</v>
      </c>
      <c r="E13" s="152">
        <v>45748</v>
      </c>
      <c r="F13" s="138"/>
    </row>
    <row r="14" spans="1:6" x14ac:dyDescent="0.4">
      <c r="A14" s="153"/>
      <c r="B14" s="153">
        <v>10010004</v>
      </c>
      <c r="C14" s="153" t="s">
        <v>115</v>
      </c>
      <c r="D14" s="153" t="s">
        <v>116</v>
      </c>
      <c r="E14" s="154">
        <v>45748</v>
      </c>
      <c r="F14" s="153"/>
    </row>
    <row r="15" spans="1:6" x14ac:dyDescent="0.4">
      <c r="A15" s="138"/>
      <c r="B15" s="138">
        <v>10010005</v>
      </c>
      <c r="C15" s="138" t="s">
        <v>117</v>
      </c>
      <c r="D15" s="138" t="s">
        <v>114</v>
      </c>
      <c r="E15" s="152">
        <v>45748</v>
      </c>
      <c r="F15" s="138"/>
    </row>
    <row r="16" spans="1:6" x14ac:dyDescent="0.4">
      <c r="A16" s="153"/>
      <c r="B16" s="153">
        <v>10010006</v>
      </c>
      <c r="C16" s="153" t="s">
        <v>118</v>
      </c>
      <c r="D16" s="153" t="s">
        <v>112</v>
      </c>
      <c r="E16" s="154">
        <v>45748</v>
      </c>
      <c r="F16" s="153"/>
    </row>
    <row r="17" spans="1:6" x14ac:dyDescent="0.4">
      <c r="A17" s="138"/>
      <c r="B17" s="138">
        <v>10010007</v>
      </c>
      <c r="C17" s="138" t="s">
        <v>119</v>
      </c>
      <c r="D17" s="138" t="s">
        <v>120</v>
      </c>
      <c r="E17" s="152">
        <v>45748</v>
      </c>
      <c r="F17" s="138"/>
    </row>
    <row r="18" spans="1:6" x14ac:dyDescent="0.4">
      <c r="A18" s="153"/>
      <c r="B18" s="153">
        <v>10010008</v>
      </c>
      <c r="C18" s="153" t="s">
        <v>121</v>
      </c>
      <c r="D18" s="153" t="s">
        <v>122</v>
      </c>
      <c r="E18" s="154">
        <v>45748</v>
      </c>
      <c r="F18" s="153"/>
    </row>
    <row r="19" spans="1:6" x14ac:dyDescent="0.4">
      <c r="A19" s="138"/>
      <c r="B19" s="138">
        <v>10010009</v>
      </c>
      <c r="C19" s="138" t="s">
        <v>123</v>
      </c>
      <c r="D19" s="138" t="s">
        <v>124</v>
      </c>
      <c r="E19" s="152">
        <v>45748</v>
      </c>
      <c r="F19" s="138"/>
    </row>
    <row r="20" spans="1:6" x14ac:dyDescent="0.4">
      <c r="A20" s="153"/>
      <c r="B20" s="153">
        <v>10010010</v>
      </c>
      <c r="C20" s="153" t="s">
        <v>125</v>
      </c>
      <c r="D20" s="153" t="s">
        <v>126</v>
      </c>
      <c r="E20" s="154">
        <v>45748</v>
      </c>
      <c r="F20" s="153"/>
    </row>
    <row r="21" spans="1:6" x14ac:dyDescent="0.4">
      <c r="A21" s="138"/>
      <c r="B21" s="138">
        <v>10010011</v>
      </c>
      <c r="C21" s="138" t="s">
        <v>127</v>
      </c>
      <c r="D21" s="138" t="s">
        <v>128</v>
      </c>
      <c r="E21" s="152">
        <v>45748</v>
      </c>
      <c r="F21" s="138"/>
    </row>
    <row r="22" spans="1:6" x14ac:dyDescent="0.4">
      <c r="A22" s="153"/>
      <c r="B22" s="153">
        <v>10010012</v>
      </c>
      <c r="C22" s="153" t="s">
        <v>129</v>
      </c>
      <c r="D22" s="153" t="s">
        <v>130</v>
      </c>
      <c r="E22" s="154">
        <v>45748</v>
      </c>
      <c r="F22" s="153"/>
    </row>
    <row r="23" spans="1:6" x14ac:dyDescent="0.4">
      <c r="A23" s="138"/>
      <c r="B23" s="138">
        <v>10010013</v>
      </c>
      <c r="C23" s="138" t="s">
        <v>131</v>
      </c>
      <c r="D23" s="138" t="s">
        <v>124</v>
      </c>
      <c r="E23" s="152">
        <v>45748</v>
      </c>
      <c r="F23" s="138"/>
    </row>
    <row r="24" spans="1:6" x14ac:dyDescent="0.4">
      <c r="A24" s="153"/>
      <c r="B24" s="153">
        <v>10010014</v>
      </c>
      <c r="C24" s="153" t="s">
        <v>132</v>
      </c>
      <c r="D24" s="153" t="s">
        <v>133</v>
      </c>
      <c r="E24" s="154">
        <v>45748</v>
      </c>
      <c r="F24" s="153"/>
    </row>
    <row r="25" spans="1:6" x14ac:dyDescent="0.4">
      <c r="A25" s="138"/>
      <c r="B25" s="138">
        <v>10010015</v>
      </c>
      <c r="C25" s="138" t="s">
        <v>134</v>
      </c>
      <c r="D25" s="138" t="s">
        <v>124</v>
      </c>
      <c r="E25" s="152">
        <v>45748</v>
      </c>
      <c r="F25" s="138"/>
    </row>
    <row r="26" spans="1:6" x14ac:dyDescent="0.4">
      <c r="A26" s="153"/>
      <c r="B26" s="153">
        <v>10010016</v>
      </c>
      <c r="C26" s="153" t="s">
        <v>135</v>
      </c>
      <c r="D26" s="153" t="s">
        <v>133</v>
      </c>
      <c r="E26" s="154">
        <v>45748</v>
      </c>
      <c r="F26" s="153"/>
    </row>
    <row r="27" spans="1:6" x14ac:dyDescent="0.4">
      <c r="A27" s="138"/>
      <c r="B27" s="138">
        <v>10010017</v>
      </c>
      <c r="C27" s="138" t="s">
        <v>136</v>
      </c>
      <c r="D27" s="138" t="s">
        <v>137</v>
      </c>
      <c r="E27" s="152">
        <v>45748</v>
      </c>
      <c r="F27" s="138"/>
    </row>
    <row r="28" spans="1:6" x14ac:dyDescent="0.4">
      <c r="A28" s="153"/>
      <c r="B28" s="153">
        <v>10010018</v>
      </c>
      <c r="C28" s="153" t="s">
        <v>138</v>
      </c>
      <c r="D28" s="153" t="s">
        <v>112</v>
      </c>
      <c r="E28" s="154">
        <v>45748</v>
      </c>
      <c r="F28" s="153"/>
    </row>
    <row r="29" spans="1:6" x14ac:dyDescent="0.4">
      <c r="A29" s="138"/>
      <c r="B29" s="138">
        <v>10010019</v>
      </c>
      <c r="C29" s="138" t="s">
        <v>139</v>
      </c>
      <c r="D29" s="138" t="s">
        <v>140</v>
      </c>
      <c r="E29" s="152">
        <v>45748</v>
      </c>
      <c r="F29" s="138"/>
    </row>
    <row r="30" spans="1:6" x14ac:dyDescent="0.4">
      <c r="A30" s="153"/>
      <c r="B30" s="153">
        <v>10010020</v>
      </c>
      <c r="C30" s="153" t="s">
        <v>141</v>
      </c>
      <c r="D30" s="153" t="s">
        <v>133</v>
      </c>
      <c r="E30" s="154">
        <v>45748</v>
      </c>
      <c r="F30" s="153"/>
    </row>
    <row r="31" spans="1:6" x14ac:dyDescent="0.4">
      <c r="A31" s="138"/>
      <c r="B31" s="138">
        <v>10010021</v>
      </c>
      <c r="C31" s="138" t="s">
        <v>142</v>
      </c>
      <c r="D31" s="138" t="s">
        <v>143</v>
      </c>
      <c r="E31" s="152">
        <v>45748</v>
      </c>
      <c r="F31" s="138"/>
    </row>
    <row r="32" spans="1:6" x14ac:dyDescent="0.4">
      <c r="A32" s="153"/>
      <c r="B32" s="153">
        <v>10010022</v>
      </c>
      <c r="C32" s="153" t="s">
        <v>144</v>
      </c>
      <c r="D32" s="153" t="s">
        <v>112</v>
      </c>
      <c r="E32" s="154">
        <v>45748</v>
      </c>
      <c r="F32" s="153"/>
    </row>
    <row r="33" spans="1:6" x14ac:dyDescent="0.4">
      <c r="A33" s="138"/>
      <c r="B33" s="138">
        <v>10010023</v>
      </c>
      <c r="C33" s="138" t="s">
        <v>145</v>
      </c>
      <c r="D33" s="138" t="s">
        <v>146</v>
      </c>
      <c r="E33" s="152">
        <v>45748</v>
      </c>
      <c r="F33" s="138"/>
    </row>
    <row r="34" spans="1:6" x14ac:dyDescent="0.4">
      <c r="A34" s="153"/>
      <c r="B34" s="153">
        <v>10010024</v>
      </c>
      <c r="C34" s="153" t="s">
        <v>147</v>
      </c>
      <c r="D34" s="153" t="s">
        <v>130</v>
      </c>
      <c r="E34" s="154">
        <v>45748</v>
      </c>
      <c r="F34" s="153"/>
    </row>
    <row r="35" spans="1:6" x14ac:dyDescent="0.4">
      <c r="A35" s="138"/>
      <c r="B35" s="138">
        <v>10010025</v>
      </c>
      <c r="C35" s="138" t="s">
        <v>148</v>
      </c>
      <c r="D35" s="138" t="s">
        <v>149</v>
      </c>
      <c r="E35" s="152">
        <v>45748</v>
      </c>
      <c r="F35" s="138"/>
    </row>
    <row r="36" spans="1:6" x14ac:dyDescent="0.4">
      <c r="A36" s="153"/>
      <c r="B36" s="153">
        <v>10010026</v>
      </c>
      <c r="C36" s="153" t="s">
        <v>150</v>
      </c>
      <c r="D36" s="153" t="s">
        <v>151</v>
      </c>
      <c r="E36" s="154">
        <v>45748</v>
      </c>
      <c r="F36" s="153"/>
    </row>
    <row r="37" spans="1:6" x14ac:dyDescent="0.4">
      <c r="A37" s="138"/>
      <c r="B37" s="138">
        <v>10010027</v>
      </c>
      <c r="C37" s="138" t="s">
        <v>152</v>
      </c>
      <c r="D37" s="138" t="s">
        <v>137</v>
      </c>
      <c r="E37" s="152">
        <v>45748</v>
      </c>
      <c r="F37" s="138"/>
    </row>
    <row r="38" spans="1:6" x14ac:dyDescent="0.4">
      <c r="A38" s="153"/>
      <c r="B38" s="153">
        <v>10010028</v>
      </c>
      <c r="C38" s="153" t="s">
        <v>153</v>
      </c>
      <c r="D38" s="153" t="s">
        <v>112</v>
      </c>
      <c r="E38" s="154">
        <v>45748</v>
      </c>
      <c r="F38" s="153"/>
    </row>
    <row r="39" spans="1:6" x14ac:dyDescent="0.4">
      <c r="A39" s="138"/>
      <c r="B39" s="138">
        <v>10010029</v>
      </c>
      <c r="C39" s="138" t="s">
        <v>154</v>
      </c>
      <c r="D39" s="138" t="s">
        <v>149</v>
      </c>
      <c r="E39" s="152">
        <v>45748</v>
      </c>
      <c r="F39" s="138"/>
    </row>
    <row r="40" spans="1:6" x14ac:dyDescent="0.4">
      <c r="A40" s="153"/>
      <c r="B40" s="155">
        <v>10010030</v>
      </c>
      <c r="C40" s="155" t="s">
        <v>155</v>
      </c>
      <c r="D40" s="155" t="s">
        <v>156</v>
      </c>
      <c r="E40" s="156">
        <v>45748</v>
      </c>
      <c r="F40" s="155"/>
    </row>
    <row r="41" spans="1:6" x14ac:dyDescent="0.4">
      <c r="B41" s="148"/>
      <c r="C41" s="148"/>
      <c r="D41" s="148"/>
      <c r="E41" s="157"/>
      <c r="F41" s="148"/>
    </row>
    <row r="42" spans="1:6" x14ac:dyDescent="0.4">
      <c r="B42" s="148"/>
      <c r="C42" s="148"/>
      <c r="D42" s="148"/>
      <c r="E42" s="157"/>
      <c r="F42" s="148"/>
    </row>
    <row r="43" spans="1:6" x14ac:dyDescent="0.4">
      <c r="B43" s="148"/>
      <c r="C43" s="148"/>
      <c r="D43" s="148"/>
      <c r="E43" s="157"/>
      <c r="F43" s="148"/>
    </row>
    <row r="44" spans="1:6" x14ac:dyDescent="0.4">
      <c r="B44" s="148"/>
      <c r="C44" s="148"/>
      <c r="D44" s="148"/>
      <c r="E44" s="157"/>
      <c r="F44" s="148"/>
    </row>
    <row r="45" spans="1:6" x14ac:dyDescent="0.4">
      <c r="E45" s="150"/>
    </row>
    <row r="46" spans="1:6" x14ac:dyDescent="0.4">
      <c r="E46" s="150"/>
    </row>
    <row r="47" spans="1:6" x14ac:dyDescent="0.4">
      <c r="E47" s="150"/>
    </row>
    <row r="48" spans="1:6" x14ac:dyDescent="0.4">
      <c r="E48" s="150"/>
    </row>
    <row r="49" spans="5:5" x14ac:dyDescent="0.4">
      <c r="E49" s="150"/>
    </row>
    <row r="50" spans="5:5" x14ac:dyDescent="0.4">
      <c r="E50" s="150"/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157A29-480B-48D4-814E-A77DA97D6E9C}">
  <sheetPr codeName="sh_input">
    <tabColor rgb="FF4472C4"/>
  </sheetPr>
  <dimension ref="A1:Z3125"/>
  <sheetViews>
    <sheetView zoomScale="115" zoomScaleNormal="115" workbookViewId="0">
      <selection activeCell="D30" sqref="D30"/>
    </sheetView>
  </sheetViews>
  <sheetFormatPr defaultRowHeight="18.75" x14ac:dyDescent="0.4"/>
  <cols>
    <col min="1" max="1" width="1.25" style="68" customWidth="1"/>
    <col min="2" max="2" width="9.5" style="67" customWidth="1"/>
    <col min="3" max="3" width="13.125" style="68" bestFit="1" customWidth="1"/>
    <col min="4" max="9" width="10" style="68" customWidth="1"/>
    <col min="10" max="10" width="19.125" style="68" customWidth="1"/>
    <col min="11" max="11" width="24.375" style="68" customWidth="1"/>
    <col min="12" max="12" width="13.25" style="68" customWidth="1"/>
    <col min="13" max="13" width="9" style="68"/>
    <col min="14" max="14" width="11.375" style="68" bestFit="1" customWidth="1"/>
    <col min="15" max="16384" width="9" style="68"/>
  </cols>
  <sheetData>
    <row r="1" spans="2:26" ht="6.75" customHeight="1" x14ac:dyDescent="0.4"/>
    <row r="2" spans="2:26" ht="42.75" x14ac:dyDescent="0.85">
      <c r="B2" s="69" t="s">
        <v>65</v>
      </c>
    </row>
    <row r="3" spans="2:26" ht="19.5" customHeight="1" x14ac:dyDescent="0.4">
      <c r="B3" s="67" t="s">
        <v>66</v>
      </c>
    </row>
    <row r="4" spans="2:26" s="77" customFormat="1" ht="24" x14ac:dyDescent="0.5">
      <c r="B4" s="70"/>
      <c r="C4" s="71" t="s">
        <v>85</v>
      </c>
      <c r="D4" s="72"/>
      <c r="E4" s="96" t="s">
        <v>89</v>
      </c>
      <c r="F4" s="74"/>
      <c r="G4" s="73"/>
      <c r="H4" s="73"/>
      <c r="I4" s="73" t="s">
        <v>90</v>
      </c>
      <c r="J4" s="76">
        <v>46063</v>
      </c>
      <c r="K4" s="73"/>
      <c r="L4" s="73"/>
      <c r="M4" s="73"/>
      <c r="N4" s="73"/>
      <c r="O4" s="73"/>
      <c r="P4" s="73"/>
      <c r="Q4" s="73"/>
      <c r="R4" s="73"/>
      <c r="S4" s="73"/>
      <c r="T4" s="73"/>
      <c r="U4" s="73"/>
      <c r="V4" s="73"/>
      <c r="W4" s="73"/>
      <c r="X4" s="73"/>
      <c r="Y4" s="73"/>
      <c r="Z4" s="73"/>
    </row>
    <row r="5" spans="2:26" ht="3.75" customHeight="1" x14ac:dyDescent="0.4">
      <c r="C5" s="78"/>
      <c r="D5" s="79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0"/>
      <c r="Q5" s="80"/>
      <c r="R5" s="80"/>
      <c r="S5" s="80"/>
      <c r="T5" s="80"/>
      <c r="U5" s="80"/>
      <c r="V5" s="80"/>
      <c r="W5" s="80"/>
      <c r="X5" s="80"/>
      <c r="Y5" s="80"/>
      <c r="Z5" s="80"/>
    </row>
    <row r="6" spans="2:26" s="77" customFormat="1" ht="24" x14ac:dyDescent="0.5">
      <c r="B6" s="70"/>
      <c r="C6" s="71" t="s">
        <v>86</v>
      </c>
      <c r="D6" s="139"/>
      <c r="E6" s="139"/>
      <c r="F6" s="139"/>
      <c r="G6" s="139"/>
      <c r="H6" s="139"/>
      <c r="I6" s="139"/>
      <c r="J6" s="139"/>
      <c r="K6" s="73"/>
      <c r="L6" s="73"/>
      <c r="M6" s="73"/>
      <c r="N6" s="73"/>
      <c r="O6" s="73"/>
      <c r="P6" s="73"/>
      <c r="Q6" s="73"/>
      <c r="R6" s="73"/>
      <c r="S6" s="73"/>
      <c r="T6" s="73"/>
      <c r="U6" s="73"/>
      <c r="V6" s="73"/>
      <c r="W6" s="73"/>
      <c r="X6" s="73"/>
      <c r="Y6" s="73"/>
      <c r="Z6" s="73"/>
    </row>
    <row r="7" spans="2:26" ht="3.75" customHeight="1" x14ac:dyDescent="0.4">
      <c r="C7" s="78"/>
      <c r="D7" s="79"/>
      <c r="E7" s="80"/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80"/>
      <c r="X7" s="80"/>
      <c r="Y7" s="80"/>
      <c r="Z7" s="80"/>
    </row>
    <row r="8" spans="2:26" s="77" customFormat="1" ht="24" x14ac:dyDescent="0.5">
      <c r="B8" s="70"/>
      <c r="C8" s="71" t="s">
        <v>87</v>
      </c>
      <c r="D8" s="81"/>
      <c r="E8" s="81"/>
      <c r="F8" s="81"/>
      <c r="G8" s="81"/>
      <c r="H8" s="81"/>
      <c r="I8" s="82" t="s">
        <v>68</v>
      </c>
      <c r="J8" s="75"/>
      <c r="K8" s="73"/>
      <c r="L8" s="73"/>
      <c r="M8" s="73"/>
      <c r="N8" s="73"/>
      <c r="O8" s="73"/>
      <c r="P8" s="73"/>
      <c r="Q8" s="73"/>
      <c r="R8" s="73"/>
      <c r="S8" s="73"/>
      <c r="T8" s="73"/>
      <c r="U8" s="73"/>
      <c r="V8" s="73"/>
      <c r="W8" s="73"/>
      <c r="X8" s="73"/>
      <c r="Y8" s="73"/>
      <c r="Z8" s="73"/>
    </row>
    <row r="9" spans="2:26" s="77" customFormat="1" ht="3.75" customHeight="1" x14ac:dyDescent="0.5">
      <c r="B9" s="70"/>
      <c r="C9" s="71"/>
      <c r="D9" s="83"/>
      <c r="E9" s="83"/>
      <c r="F9" s="83"/>
      <c r="G9" s="83"/>
      <c r="H9" s="83"/>
      <c r="I9" s="73"/>
      <c r="J9" s="73"/>
      <c r="K9" s="73"/>
      <c r="L9" s="73"/>
      <c r="M9" s="73"/>
      <c r="N9" s="73"/>
      <c r="O9" s="73"/>
      <c r="P9" s="73"/>
      <c r="Q9" s="73"/>
      <c r="R9" s="73"/>
      <c r="S9" s="73"/>
      <c r="T9" s="73"/>
      <c r="U9" s="73"/>
      <c r="V9" s="73"/>
      <c r="W9" s="73"/>
      <c r="X9" s="73"/>
      <c r="Y9" s="73"/>
      <c r="Z9" s="73"/>
    </row>
    <row r="10" spans="2:26" s="77" customFormat="1" ht="24" x14ac:dyDescent="0.5">
      <c r="B10" s="70"/>
      <c r="C10" s="71" t="s">
        <v>69</v>
      </c>
      <c r="D10" s="84"/>
      <c r="E10" s="84"/>
      <c r="F10" s="84"/>
      <c r="G10" s="84"/>
      <c r="H10" s="84"/>
      <c r="I10" s="82"/>
      <c r="J10" s="73"/>
      <c r="K10" s="73"/>
      <c r="L10" s="85"/>
      <c r="M10" s="73"/>
      <c r="N10" s="73"/>
      <c r="O10" s="73"/>
      <c r="P10" s="73"/>
      <c r="Q10" s="73"/>
      <c r="R10" s="73"/>
      <c r="S10" s="73"/>
      <c r="T10" s="73"/>
      <c r="U10" s="73"/>
      <c r="V10" s="73"/>
      <c r="W10" s="73"/>
      <c r="X10" s="73"/>
      <c r="Y10" s="73"/>
      <c r="Z10" s="73"/>
    </row>
    <row r="11" spans="2:26" s="77" customFormat="1" ht="3.75" customHeight="1" x14ac:dyDescent="0.5">
      <c r="B11" s="70"/>
      <c r="C11" s="71"/>
      <c r="D11" s="83"/>
      <c r="E11" s="83"/>
      <c r="F11" s="83"/>
      <c r="G11" s="83"/>
      <c r="H11" s="83"/>
      <c r="I11" s="82"/>
      <c r="J11" s="73"/>
      <c r="K11" s="73"/>
      <c r="L11" s="85"/>
      <c r="M11" s="73"/>
      <c r="N11" s="73"/>
      <c r="O11" s="73"/>
      <c r="P11" s="73"/>
      <c r="Q11" s="73"/>
      <c r="R11" s="73"/>
      <c r="S11" s="73"/>
      <c r="T11" s="73"/>
      <c r="U11" s="73"/>
      <c r="V11" s="73"/>
      <c r="W11" s="73"/>
      <c r="X11" s="73"/>
      <c r="Y11" s="73"/>
      <c r="Z11" s="73"/>
    </row>
    <row r="12" spans="2:26" s="77" customFormat="1" ht="25.5" customHeight="1" x14ac:dyDescent="0.5">
      <c r="B12" s="70"/>
      <c r="C12" s="71" t="s">
        <v>88</v>
      </c>
      <c r="D12" s="72"/>
      <c r="E12" s="75"/>
      <c r="F12" s="75"/>
      <c r="G12" s="81"/>
      <c r="H12" s="81"/>
      <c r="I12" s="82"/>
      <c r="J12" s="73"/>
      <c r="K12" s="73"/>
      <c r="L12" s="85" t="s">
        <v>70</v>
      </c>
      <c r="M12" s="73" t="b">
        <v>0</v>
      </c>
      <c r="N12" s="73">
        <f>IF(M12,1,0)</f>
        <v>0</v>
      </c>
      <c r="O12" s="73"/>
      <c r="P12" s="73"/>
      <c r="Q12" s="73"/>
      <c r="R12" s="73"/>
      <c r="S12" s="73"/>
      <c r="T12" s="73"/>
      <c r="U12" s="73"/>
      <c r="V12" s="73"/>
      <c r="W12" s="73"/>
      <c r="X12" s="73"/>
      <c r="Y12" s="73"/>
      <c r="Z12" s="73"/>
    </row>
    <row r="13" spans="2:26" s="77" customFormat="1" ht="3.75" customHeight="1" x14ac:dyDescent="0.5">
      <c r="B13" s="70"/>
      <c r="C13" s="71"/>
      <c r="D13" s="83"/>
      <c r="E13" s="83"/>
      <c r="F13" s="83"/>
      <c r="G13" s="83"/>
      <c r="H13" s="83"/>
      <c r="I13" s="82"/>
      <c r="J13" s="73"/>
      <c r="K13" s="73"/>
      <c r="L13" s="85"/>
      <c r="M13" s="73"/>
      <c r="N13" s="73"/>
      <c r="O13" s="73"/>
      <c r="P13" s="73"/>
      <c r="Q13" s="73"/>
      <c r="R13" s="73"/>
      <c r="S13" s="73"/>
      <c r="T13" s="73"/>
      <c r="U13" s="73"/>
      <c r="V13" s="73"/>
      <c r="W13" s="73"/>
      <c r="X13" s="73"/>
      <c r="Y13" s="73"/>
      <c r="Z13" s="73"/>
    </row>
    <row r="14" spans="2:26" s="77" customFormat="1" ht="24" hidden="1" customHeight="1" x14ac:dyDescent="0.5">
      <c r="B14" s="70"/>
      <c r="C14" s="71" t="s">
        <v>72</v>
      </c>
      <c r="D14" s="86"/>
      <c r="E14" s="86"/>
      <c r="F14" s="86"/>
      <c r="G14" s="86"/>
      <c r="H14" s="86"/>
      <c r="I14" s="82"/>
      <c r="J14" s="73"/>
      <c r="K14" s="73"/>
      <c r="L14" s="95" t="s">
        <v>80</v>
      </c>
      <c r="M14" s="73" t="b">
        <v>0</v>
      </c>
      <c r="N14" s="73">
        <f>IF(M14,1,0)</f>
        <v>0</v>
      </c>
      <c r="O14" s="73"/>
      <c r="P14" s="73"/>
      <c r="Q14" s="73"/>
      <c r="R14" s="73"/>
      <c r="S14" s="73"/>
      <c r="T14" s="73"/>
      <c r="U14" s="73"/>
      <c r="V14" s="73"/>
      <c r="W14" s="73"/>
      <c r="X14" s="73"/>
      <c r="Y14" s="73"/>
      <c r="Z14" s="73"/>
    </row>
    <row r="15" spans="2:26" s="77" customFormat="1" ht="3.75" hidden="1" customHeight="1" x14ac:dyDescent="0.5">
      <c r="B15" s="70"/>
      <c r="C15" s="71"/>
      <c r="D15" s="83"/>
      <c r="E15" s="83"/>
      <c r="F15" s="83"/>
      <c r="G15" s="83"/>
      <c r="H15" s="83"/>
      <c r="I15" s="82"/>
      <c r="J15" s="73"/>
      <c r="K15" s="73"/>
      <c r="L15" s="95"/>
      <c r="M15" s="73"/>
      <c r="N15" s="73"/>
      <c r="O15" s="73"/>
      <c r="P15" s="73"/>
      <c r="Q15" s="73"/>
      <c r="R15" s="73"/>
      <c r="S15" s="73"/>
      <c r="T15" s="73"/>
      <c r="U15" s="73"/>
      <c r="V15" s="73"/>
      <c r="W15" s="73"/>
      <c r="X15" s="73"/>
      <c r="Y15" s="73"/>
      <c r="Z15" s="73"/>
    </row>
    <row r="16" spans="2:26" s="77" customFormat="1" ht="25.5" hidden="1" customHeight="1" x14ac:dyDescent="0.5">
      <c r="B16" s="70"/>
      <c r="C16" s="71" t="s">
        <v>73</v>
      </c>
      <c r="D16" s="86"/>
      <c r="E16" s="86"/>
      <c r="F16" s="86"/>
      <c r="G16" s="86"/>
      <c r="H16" s="86"/>
      <c r="I16" s="82"/>
      <c r="J16" s="73"/>
      <c r="K16" s="73"/>
      <c r="L16" s="95" t="s">
        <v>81</v>
      </c>
      <c r="M16" s="73" t="b">
        <v>0</v>
      </c>
      <c r="N16" s="73">
        <f>IF(M16,1,0)</f>
        <v>0</v>
      </c>
      <c r="O16" s="73"/>
      <c r="P16" s="73"/>
      <c r="Q16" s="73"/>
      <c r="R16" s="73"/>
      <c r="S16" s="73"/>
      <c r="T16" s="73"/>
      <c r="U16" s="73"/>
      <c r="V16" s="73"/>
      <c r="W16" s="73"/>
      <c r="X16" s="73"/>
      <c r="Y16" s="73"/>
      <c r="Z16" s="73"/>
    </row>
    <row r="17" spans="1:26" s="77" customFormat="1" ht="3.75" hidden="1" customHeight="1" x14ac:dyDescent="0.5">
      <c r="B17" s="70"/>
      <c r="C17" s="71"/>
      <c r="D17" s="83"/>
      <c r="E17" s="83"/>
      <c r="F17" s="83"/>
      <c r="G17" s="83"/>
      <c r="H17" s="83"/>
      <c r="I17" s="82"/>
      <c r="J17" s="73"/>
      <c r="K17" s="73"/>
      <c r="L17" s="73"/>
      <c r="M17" s="73"/>
      <c r="N17" s="73"/>
      <c r="O17" s="73"/>
      <c r="P17" s="73"/>
      <c r="Q17" s="73"/>
      <c r="R17" s="73"/>
      <c r="S17" s="73"/>
      <c r="T17" s="73"/>
      <c r="U17" s="73"/>
      <c r="V17" s="73"/>
      <c r="W17" s="73"/>
      <c r="X17" s="73"/>
      <c r="Y17" s="73"/>
      <c r="Z17" s="73"/>
    </row>
    <row r="18" spans="1:26" s="77" customFormat="1" ht="25.5" hidden="1" customHeight="1" x14ac:dyDescent="0.5">
      <c r="B18" s="70"/>
      <c r="C18" s="71" t="s">
        <v>71</v>
      </c>
      <c r="D18" s="87"/>
      <c r="E18" s="87"/>
      <c r="F18" s="87"/>
      <c r="G18" s="87"/>
      <c r="H18" s="87"/>
      <c r="I18" s="82"/>
      <c r="J18" s="73"/>
      <c r="K18" s="73"/>
      <c r="L18" s="73"/>
      <c r="M18" s="73"/>
      <c r="N18" s="73">
        <f>SUM(N16,N14,N12)</f>
        <v>0</v>
      </c>
      <c r="O18" s="73"/>
      <c r="P18" s="73"/>
      <c r="Q18" s="73"/>
      <c r="R18" s="73"/>
      <c r="S18" s="73"/>
      <c r="T18" s="73"/>
      <c r="U18" s="73"/>
      <c r="V18" s="73"/>
      <c r="W18" s="73"/>
      <c r="X18" s="73"/>
      <c r="Y18" s="73"/>
      <c r="Z18" s="73"/>
    </row>
    <row r="19" spans="1:26" s="77" customFormat="1" ht="3.75" hidden="1" customHeight="1" x14ac:dyDescent="0.5">
      <c r="B19" s="70"/>
      <c r="C19" s="71"/>
      <c r="D19" s="83"/>
      <c r="E19" s="83"/>
      <c r="F19" s="83"/>
      <c r="G19" s="83"/>
      <c r="H19" s="83"/>
      <c r="I19" s="82"/>
      <c r="J19" s="73"/>
      <c r="K19" s="73"/>
      <c r="L19" s="73"/>
      <c r="M19" s="73"/>
      <c r="N19" s="73"/>
      <c r="O19" s="73"/>
      <c r="P19" s="73"/>
      <c r="Q19" s="73"/>
      <c r="R19" s="73"/>
      <c r="S19" s="73"/>
      <c r="T19" s="73"/>
      <c r="U19" s="73"/>
      <c r="V19" s="73"/>
      <c r="W19" s="73"/>
      <c r="X19" s="73"/>
      <c r="Y19" s="73"/>
      <c r="Z19" s="73"/>
    </row>
    <row r="20" spans="1:26" s="77" customFormat="1" ht="25.5" hidden="1" customHeight="1" x14ac:dyDescent="0.5">
      <c r="B20" s="70"/>
      <c r="C20" s="71" t="s">
        <v>74</v>
      </c>
      <c r="D20" s="88"/>
      <c r="E20" s="88"/>
      <c r="F20" s="88"/>
      <c r="G20" s="88"/>
      <c r="H20" s="88"/>
      <c r="I20" s="82"/>
      <c r="J20" s="73"/>
      <c r="K20" s="73"/>
      <c r="L20" s="73"/>
      <c r="M20" s="73"/>
      <c r="N20" s="73"/>
      <c r="O20" s="73"/>
      <c r="P20" s="73"/>
      <c r="Q20" s="73"/>
      <c r="R20" s="73"/>
      <c r="S20" s="73"/>
      <c r="T20" s="73"/>
      <c r="U20" s="73"/>
      <c r="V20" s="73"/>
      <c r="W20" s="73"/>
      <c r="X20" s="73"/>
      <c r="Y20" s="73"/>
      <c r="Z20" s="73"/>
    </row>
    <row r="21" spans="1:26" s="77" customFormat="1" ht="3.75" hidden="1" customHeight="1" x14ac:dyDescent="0.5">
      <c r="B21" s="70"/>
      <c r="C21" s="71"/>
      <c r="D21" s="83"/>
      <c r="E21" s="83"/>
      <c r="F21" s="83"/>
      <c r="G21" s="83"/>
      <c r="H21" s="83"/>
      <c r="I21" s="82"/>
      <c r="J21" s="73"/>
      <c r="K21" s="73"/>
      <c r="L21" s="73"/>
      <c r="M21" s="73"/>
      <c r="N21" s="73"/>
      <c r="O21" s="73"/>
      <c r="P21" s="73"/>
      <c r="Q21" s="73"/>
      <c r="R21" s="73"/>
      <c r="S21" s="73"/>
      <c r="T21" s="73"/>
      <c r="U21" s="73"/>
      <c r="V21" s="73"/>
      <c r="W21" s="73"/>
      <c r="X21" s="73"/>
      <c r="Y21" s="73"/>
      <c r="Z21" s="73"/>
    </row>
    <row r="22" spans="1:26" s="77" customFormat="1" ht="24" hidden="1" customHeight="1" x14ac:dyDescent="0.5">
      <c r="A22" s="77" t="s">
        <v>75</v>
      </c>
      <c r="B22" s="70"/>
      <c r="C22" s="71" t="s">
        <v>76</v>
      </c>
      <c r="D22" s="89"/>
      <c r="E22" s="90"/>
      <c r="F22" s="90"/>
      <c r="G22" s="90"/>
      <c r="H22" s="90"/>
      <c r="I22" s="82"/>
      <c r="J22" s="73"/>
      <c r="K22" s="73"/>
      <c r="L22" s="73"/>
      <c r="M22" s="73"/>
      <c r="N22" s="73"/>
      <c r="O22" s="73"/>
      <c r="P22" s="73"/>
      <c r="Q22" s="73"/>
      <c r="R22" s="73"/>
      <c r="S22" s="73"/>
      <c r="T22" s="73"/>
      <c r="U22" s="73"/>
      <c r="V22" s="73"/>
      <c r="W22" s="73"/>
      <c r="X22" s="73"/>
      <c r="Y22" s="73"/>
      <c r="Z22" s="73"/>
    </row>
    <row r="23" spans="1:26" s="77" customFormat="1" ht="3.75" hidden="1" customHeight="1" x14ac:dyDescent="0.5">
      <c r="B23" s="70"/>
      <c r="C23" s="71"/>
      <c r="D23" s="83"/>
      <c r="E23" s="83"/>
      <c r="F23" s="83"/>
      <c r="G23" s="83"/>
      <c r="H23" s="83"/>
      <c r="I23" s="91"/>
      <c r="J23" s="73"/>
      <c r="K23" s="73"/>
      <c r="L23" s="73"/>
      <c r="M23" s="73"/>
      <c r="N23" s="73"/>
      <c r="O23" s="73"/>
      <c r="P23" s="73"/>
      <c r="Q23" s="73"/>
      <c r="R23" s="73"/>
      <c r="S23" s="73"/>
      <c r="T23" s="73"/>
      <c r="U23" s="73"/>
      <c r="V23" s="73"/>
      <c r="W23" s="73"/>
      <c r="X23" s="73"/>
      <c r="Y23" s="73"/>
      <c r="Z23" s="73"/>
    </row>
    <row r="24" spans="1:26" s="77" customFormat="1" ht="24" hidden="1" customHeight="1" x14ac:dyDescent="0.5">
      <c r="B24" s="70"/>
      <c r="C24" s="71" t="s">
        <v>77</v>
      </c>
      <c r="D24" s="92" t="str" cm="1">
        <f t="array" ref="D24">IF(D12="","",調整後配点計算(D12,D14,D18,D20))</f>
        <v/>
      </c>
      <c r="E24" s="92" t="str" cm="1">
        <f t="array" ref="E24">IF(E12="","",調整後配点計算(E12,E14,E18,E20))</f>
        <v/>
      </c>
      <c r="F24" s="92" t="str" cm="1">
        <f t="array" ref="F24">IF(F12="","",調整後配点計算(F12,F14,F18,F20))</f>
        <v/>
      </c>
      <c r="G24" s="92" t="str" cm="1">
        <f t="array" ref="G24">IF(G12="","",調整後配点計算(G12,G14,G18,G20))</f>
        <v/>
      </c>
      <c r="H24" s="92"/>
      <c r="I24" s="91"/>
      <c r="J24" s="73"/>
      <c r="K24" s="73"/>
      <c r="O24" s="73"/>
      <c r="P24" s="73"/>
      <c r="Q24" s="73"/>
      <c r="R24" s="73"/>
      <c r="S24" s="73"/>
      <c r="T24" s="73"/>
      <c r="U24" s="73"/>
      <c r="V24" s="73"/>
      <c r="W24" s="73"/>
      <c r="X24" s="73"/>
      <c r="Y24" s="73"/>
      <c r="Z24" s="73"/>
    </row>
    <row r="25" spans="1:26" s="77" customFormat="1" ht="3.75" hidden="1" customHeight="1" x14ac:dyDescent="0.5">
      <c r="B25" s="70"/>
      <c r="C25" s="71"/>
      <c r="D25" s="83"/>
      <c r="E25" s="83"/>
      <c r="F25" s="83"/>
      <c r="G25" s="83"/>
      <c r="H25" s="83"/>
      <c r="I25" s="91"/>
      <c r="J25" s="73"/>
      <c r="K25" s="73"/>
      <c r="O25" s="73"/>
      <c r="P25" s="73"/>
      <c r="Q25" s="73"/>
      <c r="R25" s="73"/>
      <c r="S25" s="73"/>
      <c r="T25" s="73"/>
      <c r="U25" s="73"/>
      <c r="V25" s="73"/>
      <c r="W25" s="73"/>
      <c r="X25" s="73"/>
      <c r="Y25" s="73"/>
      <c r="Z25" s="73"/>
    </row>
    <row r="26" spans="1:26" s="77" customFormat="1" ht="24" x14ac:dyDescent="0.5">
      <c r="B26" s="70"/>
      <c r="C26" s="71" t="s">
        <v>67</v>
      </c>
      <c r="D26" s="72"/>
      <c r="E26" s="75"/>
      <c r="F26" s="75"/>
      <c r="G26" s="75"/>
      <c r="H26" s="75"/>
      <c r="I26" s="91" t="s">
        <v>98</v>
      </c>
      <c r="K26" s="73"/>
      <c r="O26" s="73"/>
      <c r="P26" s="73"/>
      <c r="Q26" s="73"/>
      <c r="R26" s="73"/>
      <c r="S26" s="73"/>
      <c r="T26" s="73"/>
      <c r="U26" s="73"/>
      <c r="V26" s="73"/>
      <c r="W26" s="73"/>
      <c r="X26" s="73"/>
      <c r="Y26" s="73"/>
      <c r="Z26" s="73"/>
    </row>
    <row r="27" spans="1:26" s="77" customFormat="1" ht="3.75" customHeight="1" x14ac:dyDescent="0.5">
      <c r="B27" s="70"/>
      <c r="C27" s="68"/>
      <c r="D27" s="68"/>
      <c r="E27" s="73"/>
      <c r="F27" s="73"/>
      <c r="G27" s="73"/>
      <c r="H27" s="73"/>
      <c r="I27" s="73"/>
      <c r="J27" s="73"/>
      <c r="K27" s="73"/>
      <c r="L27" s="73"/>
      <c r="M27" s="73"/>
      <c r="N27" s="73"/>
      <c r="O27" s="73"/>
      <c r="P27" s="73"/>
      <c r="Q27" s="73"/>
      <c r="R27" s="73"/>
      <c r="S27" s="73"/>
      <c r="T27" s="73"/>
      <c r="U27" s="73"/>
      <c r="V27" s="73"/>
      <c r="W27" s="73"/>
      <c r="X27" s="73"/>
      <c r="Y27" s="73"/>
      <c r="Z27" s="73"/>
    </row>
    <row r="28" spans="1:26" s="77" customFormat="1" ht="23.25" customHeight="1" x14ac:dyDescent="0.5">
      <c r="B28" s="70"/>
      <c r="C28" s="71" t="s">
        <v>189</v>
      </c>
      <c r="D28" s="72"/>
      <c r="E28" s="72"/>
      <c r="F28" s="72"/>
      <c r="G28" s="72"/>
      <c r="H28" s="72"/>
      <c r="I28" s="91" t="s">
        <v>190</v>
      </c>
      <c r="J28" s="73"/>
      <c r="K28" s="73"/>
      <c r="L28" s="73"/>
      <c r="M28" s="73"/>
      <c r="N28" s="73"/>
      <c r="O28" s="73"/>
      <c r="P28" s="73"/>
      <c r="Q28" s="73"/>
      <c r="R28" s="73"/>
      <c r="S28" s="73"/>
      <c r="T28" s="73"/>
      <c r="U28" s="73"/>
      <c r="V28" s="73"/>
      <c r="W28" s="73"/>
      <c r="X28" s="73"/>
      <c r="Y28" s="73"/>
      <c r="Z28" s="73"/>
    </row>
    <row r="29" spans="1:26" s="77" customFormat="1" ht="3.75" customHeight="1" thickBot="1" x14ac:dyDescent="0.55000000000000004">
      <c r="A29" s="93"/>
      <c r="B29" s="97"/>
      <c r="C29" s="97"/>
      <c r="D29" s="98"/>
      <c r="E29" s="98"/>
      <c r="F29" s="98"/>
      <c r="G29" s="98"/>
      <c r="H29" s="98"/>
      <c r="I29" s="94"/>
      <c r="J29" s="94"/>
      <c r="K29" s="94"/>
      <c r="L29" s="73"/>
      <c r="M29" s="73"/>
      <c r="N29" s="73"/>
      <c r="O29" s="73"/>
      <c r="P29" s="73"/>
      <c r="Q29" s="73"/>
      <c r="R29" s="73"/>
      <c r="S29" s="73"/>
      <c r="T29" s="73"/>
      <c r="U29" s="73"/>
      <c r="V29" s="73"/>
      <c r="W29" s="73"/>
      <c r="X29" s="73"/>
      <c r="Y29" s="73"/>
      <c r="Z29" s="73"/>
    </row>
    <row r="30" spans="1:26" x14ac:dyDescent="0.4">
      <c r="B30" s="68" t="s">
        <v>78</v>
      </c>
      <c r="C30" s="68" t="s">
        <v>79</v>
      </c>
      <c r="E30" s="80"/>
      <c r="F30" s="80"/>
      <c r="G30" s="80"/>
      <c r="H30" s="80"/>
      <c r="I30" s="80"/>
      <c r="J30" s="80"/>
    </row>
    <row r="31" spans="1:26" x14ac:dyDescent="0.4">
      <c r="B31" t="str">
        <f>名簿!B11&amp;""</f>
        <v>10010001</v>
      </c>
      <c r="C31" s="68" t="str">
        <f>名簿!C11&amp;" "&amp;名簿!D11</f>
        <v>田中 雄介</v>
      </c>
      <c r="D31"/>
      <c r="G31" s="80"/>
      <c r="H31" s="80"/>
    </row>
    <row r="32" spans="1:26" x14ac:dyDescent="0.4">
      <c r="B32" t="str">
        <f>名簿!B12&amp;""</f>
        <v>10010002</v>
      </c>
      <c r="C32" s="68" t="str">
        <f>名簿!C12&amp;" "&amp;名簿!D12</f>
        <v>佐藤 凛</v>
      </c>
      <c r="D32"/>
      <c r="G32" s="80"/>
      <c r="H32" s="80"/>
    </row>
    <row r="33" spans="2:8" x14ac:dyDescent="0.4">
      <c r="B33" t="str">
        <f>名簿!B13&amp;""</f>
        <v>10010003</v>
      </c>
      <c r="C33" s="68" t="str">
        <f>名簿!C13&amp;" "&amp;名簿!D13</f>
        <v>鈴木 誠</v>
      </c>
      <c r="D33"/>
      <c r="G33" s="80"/>
      <c r="H33" s="80"/>
    </row>
    <row r="34" spans="2:8" x14ac:dyDescent="0.4">
      <c r="B34" t="str">
        <f>名簿!B14&amp;""</f>
        <v>10010004</v>
      </c>
      <c r="C34" s="68" t="str">
        <f>名簿!C14&amp;" "&amp;名簿!D14</f>
        <v>高橋 美優</v>
      </c>
      <c r="D34"/>
      <c r="G34" s="80"/>
      <c r="H34" s="80"/>
    </row>
    <row r="35" spans="2:8" x14ac:dyDescent="0.4">
      <c r="B35" t="str">
        <f>名簿!B15&amp;""</f>
        <v>10010005</v>
      </c>
      <c r="C35" s="68" t="str">
        <f>名簿!C15&amp;" "&amp;名簿!D15</f>
        <v>渡辺 誠</v>
      </c>
      <c r="D35"/>
      <c r="G35" s="80"/>
      <c r="H35" s="80"/>
    </row>
    <row r="36" spans="2:8" x14ac:dyDescent="0.4">
      <c r="B36" t="str">
        <f>名簿!B16&amp;""</f>
        <v>10010006</v>
      </c>
      <c r="C36" s="68" t="str">
        <f>名簿!C16&amp;" "&amp;名簿!D16</f>
        <v>伊藤 凛</v>
      </c>
      <c r="D36"/>
      <c r="G36" s="80"/>
      <c r="H36" s="80"/>
    </row>
    <row r="37" spans="2:8" x14ac:dyDescent="0.4">
      <c r="B37" t="str">
        <f>名簿!B17&amp;""</f>
        <v>10010007</v>
      </c>
      <c r="C37" s="68" t="str">
        <f>名簿!C17&amp;" "&amp;名簿!D17</f>
        <v>山本 太郎</v>
      </c>
      <c r="D37"/>
      <c r="G37" s="80"/>
      <c r="H37" s="80"/>
    </row>
    <row r="38" spans="2:8" x14ac:dyDescent="0.4">
      <c r="B38" t="str">
        <f>名簿!B18&amp;""</f>
        <v>10010008</v>
      </c>
      <c r="C38" s="68" t="str">
        <f>名簿!C18&amp;" "&amp;名簿!D18</f>
        <v>中村 真央</v>
      </c>
      <c r="D38"/>
      <c r="G38" s="80"/>
      <c r="H38" s="80"/>
    </row>
    <row r="39" spans="2:8" x14ac:dyDescent="0.4">
      <c r="B39" t="str">
        <f>名簿!B19&amp;""</f>
        <v>10010009</v>
      </c>
      <c r="C39" s="68" t="str">
        <f>名簿!C19&amp;" "&amp;名簿!D19</f>
        <v>小林 浩</v>
      </c>
      <c r="D39"/>
      <c r="G39" s="80"/>
      <c r="H39" s="80"/>
    </row>
    <row r="40" spans="2:8" x14ac:dyDescent="0.4">
      <c r="B40" t="str">
        <f>名簿!B20&amp;""</f>
        <v>10010010</v>
      </c>
      <c r="C40" s="68" t="str">
        <f>名簿!C20&amp;" "&amp;名簿!D20</f>
        <v>加藤 さくら</v>
      </c>
      <c r="D40"/>
      <c r="G40" s="80"/>
      <c r="H40" s="80"/>
    </row>
    <row r="41" spans="2:8" x14ac:dyDescent="0.4">
      <c r="B41" t="str">
        <f>名簿!B21&amp;""</f>
        <v>10010011</v>
      </c>
      <c r="C41" s="68" t="str">
        <f>名簿!C21&amp;" "&amp;名簿!D21</f>
        <v>吉田 亮</v>
      </c>
      <c r="D41"/>
      <c r="G41" s="80"/>
      <c r="H41" s="80"/>
    </row>
    <row r="42" spans="2:8" x14ac:dyDescent="0.4">
      <c r="B42" t="str">
        <f>名簿!B22&amp;""</f>
        <v>10010012</v>
      </c>
      <c r="C42" s="68" t="str">
        <f>名簿!C22&amp;" "&amp;名簿!D22</f>
        <v>山田 愛</v>
      </c>
      <c r="D42"/>
      <c r="G42" s="80"/>
      <c r="H42" s="80"/>
    </row>
    <row r="43" spans="2:8" x14ac:dyDescent="0.4">
      <c r="B43" t="str">
        <f>名簿!B23&amp;""</f>
        <v>10010013</v>
      </c>
      <c r="C43" s="68" t="str">
        <f>名簿!C23&amp;" "&amp;名簿!D23</f>
        <v>佐々木 浩</v>
      </c>
      <c r="D43"/>
      <c r="G43" s="80"/>
      <c r="H43" s="80"/>
    </row>
    <row r="44" spans="2:8" x14ac:dyDescent="0.4">
      <c r="B44" t="str">
        <f>名簿!B24&amp;""</f>
        <v>10010014</v>
      </c>
      <c r="C44" s="68" t="str">
        <f>名簿!C24&amp;" "&amp;名簿!D24</f>
        <v>山口 結衣</v>
      </c>
      <c r="D44"/>
      <c r="G44" s="80"/>
      <c r="H44" s="80"/>
    </row>
    <row r="45" spans="2:8" x14ac:dyDescent="0.4">
      <c r="B45" t="str">
        <f>名簿!B25&amp;""</f>
        <v>10010015</v>
      </c>
      <c r="C45" s="68" t="str">
        <f>名簿!C25&amp;" "&amp;名簿!D25</f>
        <v>松本 浩</v>
      </c>
      <c r="D45"/>
      <c r="G45" s="80"/>
      <c r="H45" s="80"/>
    </row>
    <row r="46" spans="2:8" x14ac:dyDescent="0.4">
      <c r="B46" t="str">
        <f>名簿!B26&amp;""</f>
        <v>10010016</v>
      </c>
      <c r="C46" s="68" t="str">
        <f>名簿!C26&amp;" "&amp;名簿!D26</f>
        <v>井上 結衣</v>
      </c>
      <c r="D46"/>
      <c r="G46" s="80"/>
      <c r="H46" s="80"/>
    </row>
    <row r="47" spans="2:8" x14ac:dyDescent="0.4">
      <c r="B47" t="str">
        <f>名簿!B27&amp;""</f>
        <v>10010017</v>
      </c>
      <c r="C47" s="68" t="str">
        <f>名簿!C27&amp;" "&amp;名簿!D27</f>
        <v>木村 学</v>
      </c>
      <c r="D47"/>
      <c r="G47" s="80"/>
      <c r="H47" s="80"/>
    </row>
    <row r="48" spans="2:8" x14ac:dyDescent="0.4">
      <c r="B48" t="str">
        <f>名簿!B28&amp;""</f>
        <v>10010018</v>
      </c>
      <c r="C48" s="68" t="str">
        <f>名簿!C28&amp;" "&amp;名簿!D28</f>
        <v>林 凛</v>
      </c>
      <c r="D48"/>
      <c r="G48" s="80"/>
      <c r="H48" s="80"/>
    </row>
    <row r="49" spans="2:8" x14ac:dyDescent="0.4">
      <c r="B49" t="str">
        <f>名簿!B29&amp;""</f>
        <v>10010019</v>
      </c>
      <c r="C49" s="68" t="str">
        <f>名簿!C29&amp;" "&amp;名簿!D29</f>
        <v>斎藤 翔太</v>
      </c>
      <c r="D49"/>
      <c r="G49" s="80"/>
      <c r="H49" s="80"/>
    </row>
    <row r="50" spans="2:8" x14ac:dyDescent="0.4">
      <c r="B50" t="str">
        <f>名簿!B30&amp;""</f>
        <v>10010020</v>
      </c>
      <c r="C50" s="68" t="str">
        <f>名簿!C30&amp;" "&amp;名簿!D30</f>
        <v>清水 結衣</v>
      </c>
      <c r="D50"/>
      <c r="G50" s="80"/>
      <c r="H50" s="80"/>
    </row>
    <row r="51" spans="2:8" x14ac:dyDescent="0.4">
      <c r="B51" t="str">
        <f>名簿!B31&amp;""</f>
        <v>10010021</v>
      </c>
      <c r="C51" s="68" t="str">
        <f>名簿!C31&amp;" "&amp;名簿!D31</f>
        <v>山崎 一郎</v>
      </c>
      <c r="D51"/>
      <c r="G51" s="80"/>
      <c r="H51" s="80"/>
    </row>
    <row r="52" spans="2:8" x14ac:dyDescent="0.4">
      <c r="B52" t="str">
        <f>名簿!B32&amp;""</f>
        <v>10010022</v>
      </c>
      <c r="C52" s="68" t="str">
        <f>名簿!C32&amp;" "&amp;名簿!D32</f>
        <v>森 凛</v>
      </c>
      <c r="D52"/>
      <c r="G52" s="80"/>
      <c r="H52" s="80"/>
    </row>
    <row r="53" spans="2:8" x14ac:dyDescent="0.4">
      <c r="B53" t="str">
        <f>名簿!B33&amp;""</f>
        <v>10010023</v>
      </c>
      <c r="C53" s="68" t="str">
        <f>名簿!C33&amp;" "&amp;名簿!D33</f>
        <v>池田 直樹</v>
      </c>
      <c r="D53"/>
      <c r="G53" s="80"/>
      <c r="H53" s="80"/>
    </row>
    <row r="54" spans="2:8" x14ac:dyDescent="0.4">
      <c r="B54" t="str">
        <f>名簿!B34&amp;""</f>
        <v>10010024</v>
      </c>
      <c r="C54" s="68" t="str">
        <f>名簿!C34&amp;" "&amp;名簿!D34</f>
        <v>橋本 愛</v>
      </c>
      <c r="D54"/>
      <c r="G54" s="80"/>
      <c r="H54" s="80"/>
    </row>
    <row r="55" spans="2:8" x14ac:dyDescent="0.4">
      <c r="B55" t="str">
        <f>名簿!B35&amp;""</f>
        <v>10010025</v>
      </c>
      <c r="C55" s="68" t="str">
        <f>名簿!C35&amp;" "&amp;名簿!D35</f>
        <v>阿部 健太</v>
      </c>
      <c r="D55"/>
      <c r="G55" s="80"/>
      <c r="H55" s="80"/>
    </row>
    <row r="56" spans="2:8" x14ac:dyDescent="0.4">
      <c r="B56" t="str">
        <f>名簿!B36&amp;""</f>
        <v>10010026</v>
      </c>
      <c r="C56" s="68" t="str">
        <f>名簿!C36&amp;" "&amp;名簿!D36</f>
        <v>石川 陽菜</v>
      </c>
      <c r="D56"/>
      <c r="G56" s="80"/>
      <c r="H56" s="80"/>
    </row>
    <row r="57" spans="2:8" x14ac:dyDescent="0.4">
      <c r="B57" t="str">
        <f>名簿!B37&amp;""</f>
        <v>10010027</v>
      </c>
      <c r="C57" s="68" t="str">
        <f>名簿!C37&amp;" "&amp;名簿!D37</f>
        <v>山下 学</v>
      </c>
      <c r="D57"/>
      <c r="G57" s="80"/>
      <c r="H57" s="80"/>
    </row>
    <row r="58" spans="2:8" x14ac:dyDescent="0.4">
      <c r="B58" t="str">
        <f>名簿!B38&amp;""</f>
        <v>10010028</v>
      </c>
      <c r="C58" s="68" t="str">
        <f>名簿!C38&amp;" "&amp;名簿!D38</f>
        <v>中島 凛</v>
      </c>
      <c r="D58"/>
      <c r="G58" s="80"/>
      <c r="H58" s="80"/>
    </row>
    <row r="59" spans="2:8" x14ac:dyDescent="0.4">
      <c r="B59" t="str">
        <f>名簿!B39&amp;""</f>
        <v>10010029</v>
      </c>
      <c r="C59" s="68" t="str">
        <f>名簿!C39&amp;" "&amp;名簿!D39</f>
        <v>石井 健太</v>
      </c>
      <c r="D59"/>
      <c r="G59" s="80"/>
      <c r="H59" s="80"/>
    </row>
    <row r="60" spans="2:8" x14ac:dyDescent="0.4">
      <c r="B60" t="str">
        <f>名簿!B40&amp;""</f>
        <v>10010030</v>
      </c>
      <c r="C60" s="68" t="str">
        <f>名簿!C40&amp;" "&amp;名簿!D40</f>
        <v>小川 楓</v>
      </c>
      <c r="D60"/>
      <c r="G60" s="80"/>
      <c r="H60" s="80"/>
    </row>
    <row r="61" spans="2:8" x14ac:dyDescent="0.4">
      <c r="B61" t="str">
        <f>名簿!B41&amp;""</f>
        <v/>
      </c>
      <c r="C61" s="68" t="str">
        <f>名簿!C41&amp;" "&amp;名簿!D41</f>
        <v xml:space="preserve"> </v>
      </c>
      <c r="G61" s="80"/>
      <c r="H61" s="80"/>
    </row>
    <row r="62" spans="2:8" x14ac:dyDescent="0.4">
      <c r="B62" t="str">
        <f>名簿!B42&amp;""</f>
        <v/>
      </c>
      <c r="C62" s="68" t="str">
        <f>名簿!C42&amp;" "&amp;名簿!D42</f>
        <v xml:space="preserve"> </v>
      </c>
      <c r="G62" s="80"/>
      <c r="H62" s="80"/>
    </row>
    <row r="63" spans="2:8" x14ac:dyDescent="0.4">
      <c r="B63" t="str">
        <f>名簿!B43&amp;""</f>
        <v/>
      </c>
      <c r="C63" s="68" t="str">
        <f>名簿!C43&amp;" "&amp;名簿!D43</f>
        <v xml:space="preserve"> </v>
      </c>
      <c r="G63" s="80"/>
      <c r="H63" s="80"/>
    </row>
    <row r="64" spans="2:8" x14ac:dyDescent="0.4">
      <c r="B64" t="str">
        <f>名簿!B44&amp;""</f>
        <v/>
      </c>
      <c r="C64" s="68" t="str">
        <f>名簿!C44&amp;" "&amp;名簿!D44</f>
        <v xml:space="preserve"> </v>
      </c>
      <c r="G64" s="80"/>
      <c r="H64" s="80"/>
    </row>
    <row r="65" spans="2:8" x14ac:dyDescent="0.4">
      <c r="B65" t="str">
        <f>名簿!B45&amp;""</f>
        <v/>
      </c>
      <c r="C65" s="68" t="str">
        <f>名簿!C45&amp;" "&amp;名簿!D45</f>
        <v xml:space="preserve"> </v>
      </c>
      <c r="G65" s="80"/>
      <c r="H65" s="80"/>
    </row>
    <row r="66" spans="2:8" x14ac:dyDescent="0.4">
      <c r="B66" t="str">
        <f>名簿!B46&amp;""</f>
        <v/>
      </c>
      <c r="C66" s="68" t="str">
        <f>名簿!C46&amp;" "&amp;名簿!D46</f>
        <v xml:space="preserve"> </v>
      </c>
      <c r="G66" s="80"/>
      <c r="H66" s="80"/>
    </row>
    <row r="67" spans="2:8" x14ac:dyDescent="0.4">
      <c r="B67" t="str">
        <f>名簿!B47&amp;""</f>
        <v/>
      </c>
      <c r="C67" s="68" t="str">
        <f>名簿!C47&amp;" "&amp;名簿!D47</f>
        <v xml:space="preserve"> </v>
      </c>
      <c r="G67" s="80"/>
      <c r="H67" s="80"/>
    </row>
    <row r="68" spans="2:8" x14ac:dyDescent="0.4">
      <c r="B68" t="str">
        <f>名簿!B48&amp;""</f>
        <v/>
      </c>
      <c r="C68" s="68" t="str">
        <f>名簿!C48&amp;" "&amp;名簿!D48</f>
        <v xml:space="preserve"> </v>
      </c>
      <c r="G68" s="80"/>
      <c r="H68" s="80"/>
    </row>
    <row r="69" spans="2:8" x14ac:dyDescent="0.4">
      <c r="B69" t="str">
        <f>名簿!B49&amp;""</f>
        <v/>
      </c>
      <c r="C69" s="68" t="str">
        <f>名簿!C49&amp;" "&amp;名簿!D49</f>
        <v xml:space="preserve"> </v>
      </c>
      <c r="G69" s="80"/>
      <c r="H69" s="80"/>
    </row>
    <row r="70" spans="2:8" x14ac:dyDescent="0.4">
      <c r="B70" t="str">
        <f>名簿!B50&amp;""</f>
        <v/>
      </c>
      <c r="C70" s="68" t="str">
        <f>名簿!C50&amp;" "&amp;名簿!D50</f>
        <v xml:space="preserve"> </v>
      </c>
      <c r="G70" s="80"/>
      <c r="H70" s="80"/>
    </row>
    <row r="3125" hidden="1" x14ac:dyDescent="0.4"/>
  </sheetData>
  <dataConsolidate/>
  <mergeCells count="1">
    <mergeCell ref="D6:J6"/>
  </mergeCells>
  <phoneticPr fontId="1"/>
  <dataValidations count="1">
    <dataValidation type="list" allowBlank="1" showInputMessage="1" showErrorMessage="1" sqref="D28:H28" xr:uid="{29651F14-2B62-4BCF-849C-1FC4D11AD759}">
      <formula1>"あり"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4" r:id="rId3" name="Cb_clipping">
              <controlPr defaultSize="0" autoFill="0" autoLine="0" autoPict="0" macro="[0]!sh_input.Cb_clipping">
                <anchor>
                  <from>
                    <xdr:col>8</xdr:col>
                    <xdr:colOff>85725</xdr:colOff>
                    <xdr:row>9</xdr:row>
                    <xdr:rowOff>0</xdr:rowOff>
                  </from>
                  <to>
                    <xdr:col>9</xdr:col>
                    <xdr:colOff>333375</xdr:colOff>
                    <xdr:row>10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5" r:id="rId4" name="Cb_convertScore">
              <controlPr defaultSize="0" autoFill="0" autoLine="0" autoPict="0" macro="[0]!sh_input.Cb_convertScore">
                <anchor>
                  <from>
                    <xdr:col>8</xdr:col>
                    <xdr:colOff>85725</xdr:colOff>
                    <xdr:row>11</xdr:row>
                    <xdr:rowOff>19050</xdr:rowOff>
                  </from>
                  <to>
                    <xdr:col>9</xdr:col>
                    <xdr:colOff>333375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6" r:id="rId5" name="Cb_adjustScore">
              <controlPr defaultSize="0" autoFill="0" autoLine="0" autoPict="0" macro="[0]!sh_input.Cb_adjustScore">
                <anchor>
                  <from>
                    <xdr:col>9</xdr:col>
                    <xdr:colOff>371475</xdr:colOff>
                    <xdr:row>8</xdr:row>
                    <xdr:rowOff>38100</xdr:rowOff>
                  </from>
                  <to>
                    <xdr:col>9</xdr:col>
                    <xdr:colOff>1381125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8" r:id="rId6" name="Button 10">
              <controlPr defaultSize="0" print="0" autoFill="0" autoPict="0" macro="[0]!Posting">
                <anchor moveWithCells="1" sizeWithCells="1">
                  <from>
                    <xdr:col>9</xdr:col>
                    <xdr:colOff>104775</xdr:colOff>
                    <xdr:row>1</xdr:row>
                    <xdr:rowOff>28575</xdr:rowOff>
                  </from>
                  <to>
                    <xdr:col>9</xdr:col>
                    <xdr:colOff>1390650</xdr:colOff>
                    <xdr:row>1</xdr:row>
                    <xdr:rowOff>523875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97DDBE6-7588-4CAD-AFAE-F1EBB17D992F}">
          <x14:formula1>
            <xm:f>Setting!$B$3:$B$8</xm:f>
          </x14:formula1>
          <xm:sqref>D4</xm:sqref>
        </x14:dataValidation>
        <x14:dataValidation type="list" allowBlank="1" showInputMessage="1" showErrorMessage="1" xr:uid="{453CE76A-6364-4D9E-A579-79DBF77ECC5A}">
          <x14:formula1>
            <xm:f>Setting!$F$3:$F$5</xm:f>
          </x14:formula1>
          <xm:sqref>F4</xm:sqref>
        </x14:dataValidation>
        <x14:dataValidation type="list" allowBlank="1" showInputMessage="1" showErrorMessage="1" xr:uid="{262AFCAD-E4D4-40FE-AF6C-689C5F365756}">
          <x14:formula1>
            <xm:f>Setting!$D$3:$D$5</xm:f>
          </x14:formula1>
          <xm:sqref>D8:H8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C300A0-532F-4ABD-9995-C1F95111ADCB}">
  <sheetPr codeName="sh_data">
    <tabColor rgb="FF548235"/>
  </sheetPr>
  <dimension ref="A1:ADT62"/>
  <sheetViews>
    <sheetView topLeftCell="A20" workbookViewId="0">
      <selection activeCell="G42" sqref="G42"/>
    </sheetView>
  </sheetViews>
  <sheetFormatPr defaultRowHeight="16.5" x14ac:dyDescent="0.4"/>
  <cols>
    <col min="1" max="1" width="12.625" style="108" customWidth="1"/>
    <col min="2" max="2" width="8.625" style="108" customWidth="1"/>
    <col min="3" max="3" width="12.625" style="108" customWidth="1"/>
    <col min="4" max="31" width="6.625" style="108" customWidth="1"/>
    <col min="32" max="985" width="4.875" style="108" customWidth="1"/>
    <col min="986" max="16384" width="9" style="108"/>
  </cols>
  <sheetData>
    <row r="1" spans="1:800" ht="24" x14ac:dyDescent="0.4">
      <c r="A1" s="114" t="s">
        <v>105</v>
      </c>
      <c r="B1" s="113"/>
      <c r="C1" s="113"/>
    </row>
    <row r="2" spans="1:800" x14ac:dyDescent="0.4">
      <c r="A2" s="113"/>
      <c r="B2" s="113"/>
      <c r="C2" s="113"/>
    </row>
    <row r="3" spans="1:800" s="109" customFormat="1" x14ac:dyDescent="0.4">
      <c r="A3" s="115" t="s">
        <v>237</v>
      </c>
      <c r="B3" s="108"/>
    </row>
    <row r="4" spans="1:800" s="109" customFormat="1" x14ac:dyDescent="0.4">
      <c r="A4" s="116" t="s">
        <v>10</v>
      </c>
      <c r="B4" s="116"/>
      <c r="C4" s="117" t="s">
        <v>10</v>
      </c>
      <c r="D4" s="109" t="s">
        <v>159</v>
      </c>
      <c r="E4" s="109" t="s">
        <v>160</v>
      </c>
      <c r="F4" s="109" t="s">
        <v>162</v>
      </c>
      <c r="G4" s="109" t="s">
        <v>164</v>
      </c>
      <c r="H4" s="109" t="s">
        <v>169</v>
      </c>
      <c r="I4" s="109" t="s">
        <v>170</v>
      </c>
      <c r="J4" s="109" t="s">
        <v>172</v>
      </c>
      <c r="K4" s="109" t="s">
        <v>32</v>
      </c>
      <c r="L4" s="109" t="s">
        <v>174</v>
      </c>
      <c r="M4" s="109" t="s">
        <v>176</v>
      </c>
      <c r="N4" s="109" t="s">
        <v>33</v>
      </c>
      <c r="O4" s="109" t="s">
        <v>178</v>
      </c>
      <c r="P4" s="109" t="s">
        <v>202</v>
      </c>
      <c r="Q4" s="109" t="s">
        <v>204</v>
      </c>
      <c r="R4" s="109" t="s">
        <v>207</v>
      </c>
      <c r="S4" s="109" t="s">
        <v>208</v>
      </c>
      <c r="T4" s="109" t="s">
        <v>210</v>
      </c>
      <c r="U4" s="109" t="s">
        <v>211</v>
      </c>
      <c r="V4" s="109" t="s">
        <v>213</v>
      </c>
      <c r="W4" s="109" t="s">
        <v>215</v>
      </c>
      <c r="X4" s="109" t="s">
        <v>217</v>
      </c>
      <c r="Y4" s="109" t="s">
        <v>219</v>
      </c>
      <c r="Z4" s="109" t="s">
        <v>221</v>
      </c>
      <c r="AA4" s="109" t="s">
        <v>223</v>
      </c>
      <c r="AB4" s="109" t="s">
        <v>224</v>
      </c>
      <c r="AC4" s="109" t="s">
        <v>229</v>
      </c>
      <c r="AD4" s="109" t="s">
        <v>230</v>
      </c>
      <c r="AE4" s="109" t="s">
        <v>232</v>
      </c>
    </row>
    <row r="5" spans="1:800" s="110" customFormat="1" x14ac:dyDescent="0.4">
      <c r="A5" s="116" t="s">
        <v>238</v>
      </c>
      <c r="B5" s="116"/>
      <c r="C5" s="117" t="s">
        <v>4</v>
      </c>
      <c r="D5" s="110">
        <v>46055</v>
      </c>
      <c r="E5" s="110">
        <v>46055</v>
      </c>
      <c r="F5" s="110">
        <v>46055</v>
      </c>
      <c r="G5" s="110">
        <v>46055</v>
      </c>
      <c r="H5" s="110">
        <v>46055</v>
      </c>
      <c r="I5" s="110">
        <v>46055</v>
      </c>
      <c r="J5" s="110">
        <v>46055</v>
      </c>
      <c r="K5" s="110">
        <v>46055</v>
      </c>
      <c r="L5" s="110">
        <v>46055</v>
      </c>
      <c r="M5" s="110">
        <v>46055</v>
      </c>
      <c r="N5" s="110">
        <v>46055</v>
      </c>
      <c r="O5" s="110">
        <v>46055</v>
      </c>
      <c r="P5" s="110">
        <v>46060</v>
      </c>
      <c r="Q5" s="110">
        <v>46060</v>
      </c>
      <c r="R5" s="110">
        <v>46060</v>
      </c>
      <c r="S5" s="110">
        <v>46060</v>
      </c>
      <c r="T5" s="110">
        <v>46060</v>
      </c>
      <c r="U5" s="110">
        <v>46060</v>
      </c>
      <c r="V5" s="110">
        <v>46060</v>
      </c>
      <c r="W5" s="110">
        <v>46060</v>
      </c>
      <c r="X5" s="110">
        <v>46060</v>
      </c>
      <c r="Y5" s="110">
        <v>46060</v>
      </c>
      <c r="Z5" s="110">
        <v>46060</v>
      </c>
      <c r="AA5" s="110">
        <v>46060</v>
      </c>
      <c r="AB5" s="110">
        <v>46060</v>
      </c>
      <c r="AC5" s="110">
        <v>46061</v>
      </c>
      <c r="AD5" s="110">
        <v>46062</v>
      </c>
      <c r="AE5" s="110">
        <v>46062</v>
      </c>
    </row>
    <row r="6" spans="1:800" x14ac:dyDescent="0.4">
      <c r="A6" s="116" t="s">
        <v>239</v>
      </c>
      <c r="B6" s="116"/>
      <c r="C6" s="117" t="s">
        <v>0</v>
      </c>
      <c r="D6" s="108" t="s">
        <v>29</v>
      </c>
      <c r="E6" s="108" t="s">
        <v>29</v>
      </c>
      <c r="F6" s="108" t="s">
        <v>163</v>
      </c>
      <c r="G6" s="108" t="s">
        <v>163</v>
      </c>
      <c r="H6" s="108" t="s">
        <v>29</v>
      </c>
      <c r="I6" s="108" t="s">
        <v>29</v>
      </c>
      <c r="J6" s="108" t="s">
        <v>29</v>
      </c>
      <c r="K6" s="108" t="s">
        <v>29</v>
      </c>
      <c r="L6" s="108" t="s">
        <v>175</v>
      </c>
      <c r="M6" s="108" t="s">
        <v>175</v>
      </c>
      <c r="N6" s="108" t="s">
        <v>29</v>
      </c>
      <c r="O6" s="108" t="s">
        <v>29</v>
      </c>
      <c r="P6" s="108" t="s">
        <v>29</v>
      </c>
      <c r="Q6" s="108" t="s">
        <v>29</v>
      </c>
      <c r="R6" s="108" t="s">
        <v>163</v>
      </c>
      <c r="S6" s="108" t="s">
        <v>163</v>
      </c>
      <c r="T6" s="108" t="s">
        <v>183</v>
      </c>
      <c r="U6" s="108" t="s">
        <v>183</v>
      </c>
      <c r="V6" s="108" t="s">
        <v>175</v>
      </c>
      <c r="W6" s="108" t="s">
        <v>175</v>
      </c>
      <c r="X6" s="108" t="s">
        <v>175</v>
      </c>
      <c r="Y6" s="108" t="s">
        <v>175</v>
      </c>
      <c r="Z6" s="108" t="s">
        <v>29</v>
      </c>
      <c r="AA6" s="108" t="s">
        <v>29</v>
      </c>
      <c r="AB6" s="108" t="s">
        <v>182</v>
      </c>
      <c r="AC6" s="108" t="s">
        <v>163</v>
      </c>
      <c r="AD6" s="108" t="s">
        <v>175</v>
      </c>
      <c r="AE6" s="108" t="s">
        <v>29</v>
      </c>
    </row>
    <row r="7" spans="1:800" x14ac:dyDescent="0.4">
      <c r="A7" s="116" t="s">
        <v>82</v>
      </c>
      <c r="B7" s="116"/>
      <c r="C7" s="117" t="s">
        <v>82</v>
      </c>
      <c r="D7" s="108" t="s">
        <v>157</v>
      </c>
      <c r="E7" s="108" t="s">
        <v>157</v>
      </c>
      <c r="F7" s="108" t="s">
        <v>157</v>
      </c>
      <c r="G7" s="108" t="s">
        <v>157</v>
      </c>
      <c r="H7" s="108" t="s">
        <v>157</v>
      </c>
      <c r="I7" s="108" t="s">
        <v>157</v>
      </c>
      <c r="J7" s="108" t="s">
        <v>157</v>
      </c>
      <c r="K7" s="108" t="s">
        <v>157</v>
      </c>
      <c r="L7" s="108" t="s">
        <v>157</v>
      </c>
      <c r="M7" s="108" t="s">
        <v>157</v>
      </c>
      <c r="N7" s="108" t="s">
        <v>157</v>
      </c>
      <c r="O7" s="108" t="s">
        <v>157</v>
      </c>
      <c r="P7" s="108" t="s">
        <v>157</v>
      </c>
      <c r="Q7" s="108" t="s">
        <v>157</v>
      </c>
      <c r="R7" s="108" t="s">
        <v>157</v>
      </c>
      <c r="S7" s="108" t="s">
        <v>157</v>
      </c>
      <c r="T7" s="108" t="s">
        <v>157</v>
      </c>
      <c r="U7" s="108" t="s">
        <v>157</v>
      </c>
      <c r="V7" s="108" t="s">
        <v>157</v>
      </c>
      <c r="W7" s="108" t="s">
        <v>157</v>
      </c>
      <c r="X7" s="108" t="s">
        <v>157</v>
      </c>
      <c r="Y7" s="108" t="s">
        <v>157</v>
      </c>
      <c r="Z7" s="108" t="s">
        <v>157</v>
      </c>
      <c r="AA7" s="108" t="s">
        <v>157</v>
      </c>
      <c r="AB7" s="108" t="s">
        <v>157</v>
      </c>
      <c r="AC7" s="108" t="s">
        <v>157</v>
      </c>
      <c r="AD7" s="108" t="s">
        <v>157</v>
      </c>
      <c r="AE7" s="108" t="s">
        <v>157</v>
      </c>
    </row>
    <row r="8" spans="1:800" ht="75.75" customHeight="1" x14ac:dyDescent="0.4">
      <c r="A8" s="116" t="s">
        <v>240</v>
      </c>
      <c r="B8" s="116"/>
      <c r="C8" s="117" t="s">
        <v>1</v>
      </c>
      <c r="D8" s="111" t="s">
        <v>158</v>
      </c>
      <c r="E8" s="111" t="s">
        <v>158</v>
      </c>
      <c r="F8" s="111" t="s">
        <v>161</v>
      </c>
      <c r="G8" s="111" t="s">
        <v>161</v>
      </c>
      <c r="H8" s="111" t="s">
        <v>168</v>
      </c>
      <c r="I8" s="111" t="s">
        <v>168</v>
      </c>
      <c r="J8" s="111" t="s">
        <v>171</v>
      </c>
      <c r="K8" s="111" t="s">
        <v>171</v>
      </c>
      <c r="L8" s="111" t="s">
        <v>173</v>
      </c>
      <c r="M8" s="111" t="s">
        <v>173</v>
      </c>
      <c r="N8" s="111" t="s">
        <v>177</v>
      </c>
      <c r="O8" s="111" t="s">
        <v>177</v>
      </c>
      <c r="P8" s="111" t="s">
        <v>203</v>
      </c>
      <c r="Q8" s="111" t="s">
        <v>203</v>
      </c>
      <c r="R8" s="111" t="s">
        <v>206</v>
      </c>
      <c r="S8" s="111" t="s">
        <v>206</v>
      </c>
      <c r="T8" s="111" t="s">
        <v>209</v>
      </c>
      <c r="U8" s="111" t="s">
        <v>209</v>
      </c>
      <c r="V8" s="111" t="s">
        <v>212</v>
      </c>
      <c r="W8" s="111" t="s">
        <v>214</v>
      </c>
      <c r="X8" s="111" t="s">
        <v>216</v>
      </c>
      <c r="Y8" s="111" t="s">
        <v>218</v>
      </c>
      <c r="Z8" s="111" t="s">
        <v>220</v>
      </c>
      <c r="AA8" s="111" t="s">
        <v>222</v>
      </c>
      <c r="AB8" s="111" t="s">
        <v>235</v>
      </c>
      <c r="AC8" s="111" t="s">
        <v>234</v>
      </c>
      <c r="AD8" s="111" t="s">
        <v>231</v>
      </c>
      <c r="AE8" s="111" t="s">
        <v>233</v>
      </c>
      <c r="AF8" s="111"/>
      <c r="AG8" s="111"/>
      <c r="AH8" s="111"/>
      <c r="AI8" s="111"/>
      <c r="AJ8" s="111"/>
      <c r="AK8" s="111"/>
      <c r="AL8" s="111"/>
      <c r="AM8" s="111"/>
      <c r="AN8" s="111"/>
      <c r="AO8" s="111"/>
      <c r="AP8" s="111"/>
      <c r="AQ8" s="111"/>
      <c r="AR8" s="111"/>
      <c r="AS8" s="111"/>
      <c r="AT8" s="111"/>
      <c r="AU8" s="111"/>
      <c r="AV8" s="111"/>
      <c r="AW8" s="111"/>
      <c r="AX8" s="111"/>
      <c r="AY8" s="111"/>
      <c r="AZ8" s="111"/>
      <c r="BA8" s="111"/>
      <c r="BB8" s="111"/>
      <c r="BC8" s="111"/>
      <c r="BD8" s="111"/>
      <c r="BE8" s="111"/>
      <c r="BF8" s="111"/>
      <c r="BG8" s="111"/>
      <c r="BH8" s="111"/>
      <c r="BI8" s="111"/>
      <c r="BJ8" s="111"/>
      <c r="BK8" s="111"/>
      <c r="BL8" s="111"/>
      <c r="BM8" s="111"/>
      <c r="BN8" s="111"/>
      <c r="BO8" s="111"/>
      <c r="BP8" s="111"/>
      <c r="BQ8" s="111"/>
      <c r="BR8" s="111"/>
      <c r="BS8" s="111"/>
      <c r="BT8" s="111"/>
      <c r="BU8" s="111"/>
      <c r="BV8" s="111"/>
      <c r="BW8" s="111"/>
      <c r="BX8" s="111"/>
      <c r="BY8" s="111"/>
      <c r="BZ8" s="111"/>
      <c r="CA8" s="111"/>
      <c r="CB8" s="111"/>
      <c r="CC8" s="111"/>
      <c r="CD8" s="111"/>
      <c r="CE8" s="111"/>
      <c r="CF8" s="111"/>
      <c r="CG8" s="111"/>
      <c r="CH8" s="111"/>
      <c r="CI8" s="111"/>
      <c r="CJ8" s="111"/>
      <c r="CK8" s="111"/>
      <c r="CL8" s="111"/>
      <c r="CM8" s="111"/>
      <c r="CN8" s="111"/>
      <c r="CO8" s="111"/>
      <c r="CP8" s="111"/>
      <c r="CQ8" s="111"/>
      <c r="CR8" s="111"/>
      <c r="CS8" s="111"/>
      <c r="CT8" s="111"/>
      <c r="CU8" s="111"/>
      <c r="CV8" s="111"/>
      <c r="CW8" s="111"/>
      <c r="CX8" s="111"/>
      <c r="CY8" s="111"/>
      <c r="CZ8" s="111"/>
      <c r="DA8" s="111"/>
      <c r="DB8" s="111"/>
      <c r="DC8" s="111"/>
      <c r="DD8" s="111"/>
      <c r="DE8" s="111"/>
      <c r="DF8" s="111"/>
      <c r="DG8" s="111"/>
      <c r="DH8" s="111"/>
      <c r="DI8" s="111"/>
      <c r="DJ8" s="111"/>
      <c r="DK8" s="111"/>
      <c r="DL8" s="111"/>
      <c r="DM8" s="111"/>
      <c r="DN8" s="111"/>
      <c r="DO8" s="111"/>
      <c r="DP8" s="111"/>
      <c r="DQ8" s="111"/>
      <c r="DR8" s="111"/>
      <c r="DS8" s="111"/>
      <c r="DT8" s="111"/>
      <c r="DU8" s="111"/>
      <c r="DV8" s="111"/>
      <c r="DW8" s="111"/>
      <c r="DX8" s="111"/>
      <c r="DY8" s="111"/>
      <c r="DZ8" s="111"/>
      <c r="EA8" s="111"/>
      <c r="EB8" s="111"/>
      <c r="EC8" s="111"/>
      <c r="ED8" s="111"/>
      <c r="EE8" s="111"/>
      <c r="EF8" s="111"/>
      <c r="EG8" s="111"/>
      <c r="EH8" s="111"/>
      <c r="EI8" s="111"/>
      <c r="EJ8" s="111"/>
      <c r="EK8" s="111"/>
      <c r="EL8" s="111"/>
      <c r="EM8" s="111"/>
      <c r="EN8" s="111"/>
      <c r="EO8" s="111"/>
      <c r="EP8" s="111"/>
      <c r="EQ8" s="111"/>
      <c r="ER8" s="111"/>
      <c r="ES8" s="111"/>
      <c r="ET8" s="111"/>
      <c r="EU8" s="111"/>
      <c r="EV8" s="111"/>
      <c r="EW8" s="111"/>
      <c r="EX8" s="111"/>
      <c r="EY8" s="111"/>
      <c r="EZ8" s="111"/>
      <c r="FA8" s="111"/>
      <c r="FB8" s="111"/>
      <c r="FC8" s="111"/>
      <c r="FD8" s="111"/>
      <c r="FE8" s="111"/>
      <c r="FF8" s="111"/>
      <c r="FG8" s="111"/>
      <c r="FH8" s="111"/>
      <c r="FI8" s="111"/>
      <c r="FJ8" s="111"/>
      <c r="FK8" s="111"/>
      <c r="FL8" s="111"/>
      <c r="FM8" s="111"/>
      <c r="FN8" s="111"/>
      <c r="FO8" s="111"/>
      <c r="FP8" s="111"/>
      <c r="FQ8" s="111"/>
      <c r="FR8" s="111"/>
      <c r="FS8" s="111"/>
      <c r="FT8" s="111"/>
      <c r="FU8" s="111"/>
      <c r="FV8" s="111"/>
      <c r="FW8" s="111"/>
      <c r="FX8" s="111"/>
      <c r="FY8" s="111"/>
      <c r="FZ8" s="111"/>
      <c r="GA8" s="111"/>
      <c r="GB8" s="111"/>
      <c r="GC8" s="111"/>
      <c r="GD8" s="111"/>
      <c r="GE8" s="111"/>
      <c r="GF8" s="111"/>
      <c r="GG8" s="111"/>
      <c r="GH8" s="111"/>
      <c r="GI8" s="111"/>
      <c r="GJ8" s="111"/>
      <c r="GK8" s="111"/>
      <c r="GL8" s="111"/>
      <c r="GM8" s="111"/>
      <c r="GN8" s="111"/>
      <c r="GO8" s="111"/>
      <c r="GP8" s="111"/>
      <c r="GQ8" s="111"/>
      <c r="GR8" s="111"/>
      <c r="GS8" s="111"/>
      <c r="GT8" s="111"/>
      <c r="GU8" s="111"/>
      <c r="GV8" s="111"/>
      <c r="GW8" s="111"/>
      <c r="GX8" s="111"/>
      <c r="GY8" s="111"/>
      <c r="GZ8" s="111"/>
      <c r="HA8" s="111"/>
      <c r="HB8" s="111"/>
      <c r="HC8" s="111"/>
      <c r="HD8" s="111"/>
      <c r="HE8" s="111"/>
      <c r="HF8" s="111"/>
      <c r="HG8" s="111"/>
      <c r="HH8" s="111"/>
      <c r="HI8" s="111"/>
      <c r="HJ8" s="111"/>
      <c r="HK8" s="111"/>
      <c r="HL8" s="111"/>
      <c r="HM8" s="111"/>
      <c r="HN8" s="111"/>
      <c r="HO8" s="111"/>
      <c r="HP8" s="111"/>
      <c r="HQ8" s="111"/>
      <c r="HR8" s="111"/>
      <c r="HS8" s="111"/>
      <c r="HT8" s="111"/>
      <c r="HU8" s="111"/>
      <c r="HV8" s="111"/>
      <c r="HW8" s="111"/>
      <c r="HX8" s="111"/>
      <c r="HY8" s="111"/>
      <c r="HZ8" s="111"/>
      <c r="IA8" s="111"/>
      <c r="IB8" s="111"/>
      <c r="IC8" s="111"/>
      <c r="ID8" s="111"/>
      <c r="IE8" s="111"/>
      <c r="IF8" s="111"/>
      <c r="IG8" s="111"/>
      <c r="IH8" s="111"/>
      <c r="II8" s="111"/>
      <c r="IJ8" s="111"/>
      <c r="IK8" s="111"/>
      <c r="IL8" s="111"/>
      <c r="IM8" s="111"/>
      <c r="IN8" s="111"/>
      <c r="IO8" s="111"/>
      <c r="IP8" s="111"/>
      <c r="IQ8" s="111"/>
      <c r="IR8" s="111"/>
      <c r="IS8" s="111"/>
      <c r="IT8" s="111"/>
      <c r="IU8" s="111"/>
      <c r="IV8" s="111"/>
      <c r="IW8" s="111"/>
      <c r="IX8" s="111"/>
      <c r="IY8" s="111"/>
      <c r="IZ8" s="111"/>
      <c r="JA8" s="111"/>
      <c r="JB8" s="111"/>
      <c r="JC8" s="111"/>
      <c r="JD8" s="111"/>
      <c r="JE8" s="111"/>
      <c r="JF8" s="111"/>
      <c r="JG8" s="111"/>
      <c r="JH8" s="111"/>
      <c r="JI8" s="111"/>
      <c r="JJ8" s="111"/>
      <c r="JK8" s="111"/>
      <c r="JL8" s="111"/>
      <c r="JM8" s="111"/>
      <c r="JN8" s="111"/>
      <c r="JO8" s="111"/>
      <c r="JP8" s="111"/>
      <c r="JQ8" s="111"/>
      <c r="JR8" s="111"/>
      <c r="JS8" s="111"/>
      <c r="JT8" s="111"/>
      <c r="JU8" s="111"/>
      <c r="JV8" s="111"/>
      <c r="JW8" s="111"/>
      <c r="JX8" s="111"/>
      <c r="JY8" s="111"/>
      <c r="JZ8" s="111"/>
      <c r="KA8" s="111"/>
      <c r="KB8" s="111"/>
      <c r="KC8" s="111"/>
      <c r="KD8" s="111"/>
      <c r="KE8" s="111"/>
      <c r="KF8" s="111"/>
      <c r="KG8" s="111"/>
      <c r="KH8" s="111"/>
      <c r="KI8" s="111"/>
      <c r="KJ8" s="111"/>
      <c r="KK8" s="111"/>
      <c r="KL8" s="111"/>
      <c r="KM8" s="111"/>
      <c r="KN8" s="111"/>
      <c r="KO8" s="111"/>
      <c r="KP8" s="111"/>
      <c r="KQ8" s="111"/>
      <c r="KR8" s="111"/>
      <c r="KS8" s="111"/>
      <c r="KT8" s="111"/>
      <c r="KU8" s="111"/>
      <c r="KV8" s="111"/>
      <c r="KW8" s="111"/>
      <c r="KX8" s="111"/>
      <c r="KY8" s="111"/>
      <c r="KZ8" s="111"/>
      <c r="LA8" s="111"/>
      <c r="LB8" s="111"/>
      <c r="LC8" s="111"/>
      <c r="LD8" s="111"/>
      <c r="LE8" s="111"/>
      <c r="LF8" s="111"/>
      <c r="LG8" s="111"/>
      <c r="LH8" s="111"/>
      <c r="LI8" s="111"/>
      <c r="LJ8" s="111"/>
      <c r="LK8" s="111"/>
      <c r="LL8" s="111"/>
      <c r="LM8" s="111"/>
      <c r="LN8" s="111"/>
      <c r="LO8" s="111"/>
      <c r="LP8" s="111"/>
      <c r="LQ8" s="111"/>
      <c r="LR8" s="111"/>
      <c r="LS8" s="111"/>
      <c r="LT8" s="111"/>
      <c r="LU8" s="111"/>
      <c r="LV8" s="111"/>
      <c r="LW8" s="111"/>
      <c r="LX8" s="111"/>
      <c r="LY8" s="111"/>
      <c r="LZ8" s="111"/>
      <c r="MA8" s="111"/>
      <c r="MB8" s="111"/>
      <c r="MC8" s="111"/>
      <c r="MD8" s="111"/>
      <c r="ME8" s="111"/>
      <c r="MF8" s="111"/>
      <c r="MG8" s="111"/>
      <c r="MH8" s="111"/>
      <c r="MI8" s="111"/>
      <c r="MJ8" s="111"/>
      <c r="MK8" s="111"/>
      <c r="ML8" s="111"/>
      <c r="MM8" s="111"/>
      <c r="MN8" s="111"/>
      <c r="MO8" s="111"/>
      <c r="MP8" s="111"/>
      <c r="MQ8" s="111"/>
      <c r="MR8" s="111"/>
      <c r="MS8" s="111"/>
      <c r="MT8" s="111"/>
      <c r="MU8" s="111"/>
      <c r="MV8" s="111"/>
      <c r="MW8" s="111"/>
      <c r="MX8" s="111"/>
      <c r="MY8" s="111"/>
      <c r="MZ8" s="111"/>
      <c r="NA8" s="111"/>
      <c r="NB8" s="111"/>
      <c r="NC8" s="111"/>
      <c r="ND8" s="111"/>
      <c r="NE8" s="111"/>
      <c r="NF8" s="111"/>
      <c r="NG8" s="111"/>
      <c r="NH8" s="111"/>
      <c r="NI8" s="111"/>
      <c r="NJ8" s="111"/>
      <c r="NK8" s="111"/>
      <c r="NL8" s="111"/>
      <c r="NM8" s="111"/>
      <c r="NN8" s="111"/>
      <c r="NO8" s="111"/>
      <c r="NP8" s="111"/>
      <c r="NQ8" s="111"/>
      <c r="NR8" s="111"/>
      <c r="NS8" s="111"/>
      <c r="NT8" s="111"/>
      <c r="NU8" s="111"/>
      <c r="NV8" s="111"/>
      <c r="NW8" s="111"/>
      <c r="NX8" s="111"/>
      <c r="NY8" s="111"/>
      <c r="NZ8" s="111"/>
      <c r="OA8" s="111"/>
      <c r="OB8" s="111"/>
      <c r="OC8" s="111"/>
      <c r="OD8" s="111"/>
      <c r="OE8" s="111"/>
      <c r="OF8" s="111"/>
      <c r="OG8" s="111"/>
      <c r="OH8" s="111"/>
      <c r="OI8" s="111"/>
      <c r="OJ8" s="111"/>
      <c r="OK8" s="111"/>
      <c r="OL8" s="111"/>
      <c r="OM8" s="111"/>
      <c r="ON8" s="111"/>
      <c r="OO8" s="111"/>
      <c r="OP8" s="111"/>
      <c r="OQ8" s="111"/>
      <c r="OR8" s="111"/>
      <c r="OS8" s="111"/>
      <c r="OT8" s="111"/>
      <c r="OU8" s="111"/>
      <c r="OV8" s="111"/>
      <c r="OW8" s="111"/>
      <c r="OX8" s="111"/>
      <c r="OY8" s="111"/>
      <c r="OZ8" s="111"/>
      <c r="PA8" s="111"/>
      <c r="PB8" s="111"/>
      <c r="PC8" s="111"/>
      <c r="PD8" s="111"/>
      <c r="PE8" s="111"/>
      <c r="PF8" s="111"/>
      <c r="PG8" s="111"/>
      <c r="PH8" s="111"/>
      <c r="PI8" s="111"/>
      <c r="PJ8" s="111"/>
      <c r="PK8" s="111"/>
      <c r="PL8" s="111"/>
      <c r="PM8" s="111"/>
      <c r="PN8" s="111"/>
      <c r="PO8" s="111"/>
      <c r="PP8" s="111"/>
      <c r="PQ8" s="111"/>
      <c r="PR8" s="111"/>
      <c r="PS8" s="111"/>
      <c r="PT8" s="111"/>
      <c r="PU8" s="111"/>
      <c r="PV8" s="111"/>
      <c r="PW8" s="111"/>
      <c r="PX8" s="111"/>
      <c r="PY8" s="111"/>
      <c r="PZ8" s="111"/>
      <c r="QA8" s="111"/>
      <c r="QB8" s="111"/>
      <c r="QC8" s="111"/>
      <c r="QD8" s="111"/>
      <c r="QE8" s="111"/>
      <c r="QF8" s="111"/>
      <c r="QG8" s="111"/>
      <c r="QH8" s="111"/>
      <c r="QI8" s="111"/>
      <c r="QJ8" s="111"/>
      <c r="QK8" s="111"/>
      <c r="QL8" s="111"/>
      <c r="QM8" s="111"/>
      <c r="QN8" s="111"/>
      <c r="QO8" s="111"/>
      <c r="QP8" s="111"/>
      <c r="QQ8" s="111"/>
      <c r="QR8" s="111"/>
      <c r="QS8" s="111"/>
      <c r="QT8" s="111"/>
      <c r="QU8" s="111"/>
      <c r="QV8" s="111"/>
      <c r="QW8" s="111"/>
      <c r="QX8" s="111"/>
      <c r="QY8" s="111"/>
      <c r="QZ8" s="111"/>
      <c r="RA8" s="111"/>
      <c r="RB8" s="111"/>
      <c r="RC8" s="111"/>
      <c r="RD8" s="111"/>
      <c r="RE8" s="111"/>
      <c r="RF8" s="111"/>
      <c r="RG8" s="111"/>
      <c r="RH8" s="111"/>
      <c r="RI8" s="111"/>
      <c r="RJ8" s="111"/>
      <c r="RK8" s="111"/>
      <c r="RL8" s="111"/>
      <c r="RM8" s="111"/>
      <c r="RN8" s="111"/>
      <c r="RO8" s="111"/>
      <c r="RP8" s="111"/>
      <c r="RQ8" s="111"/>
      <c r="RR8" s="111"/>
      <c r="RS8" s="111"/>
      <c r="RT8" s="111"/>
      <c r="RU8" s="111"/>
      <c r="RV8" s="111"/>
      <c r="RW8" s="111"/>
      <c r="RX8" s="111"/>
      <c r="RY8" s="111"/>
      <c r="RZ8" s="111"/>
      <c r="SA8" s="111"/>
      <c r="SB8" s="111"/>
      <c r="SC8" s="111"/>
      <c r="SD8" s="111"/>
      <c r="SE8" s="111"/>
      <c r="SF8" s="111"/>
      <c r="SG8" s="111"/>
      <c r="SH8" s="111"/>
      <c r="SI8" s="111"/>
      <c r="SJ8" s="111"/>
      <c r="SK8" s="111"/>
      <c r="SL8" s="111"/>
      <c r="SM8" s="111"/>
      <c r="SN8" s="111"/>
      <c r="SO8" s="111"/>
      <c r="SP8" s="111"/>
      <c r="SQ8" s="111"/>
      <c r="SR8" s="111"/>
      <c r="SS8" s="111"/>
      <c r="ST8" s="111"/>
      <c r="SU8" s="111"/>
      <c r="SV8" s="111"/>
      <c r="SW8" s="111"/>
      <c r="SX8" s="111"/>
      <c r="SY8" s="111"/>
      <c r="SZ8" s="111"/>
      <c r="TA8" s="111"/>
      <c r="TB8" s="111"/>
      <c r="TC8" s="111"/>
      <c r="TD8" s="111"/>
      <c r="TE8" s="111"/>
      <c r="TF8" s="111"/>
      <c r="TG8" s="111"/>
      <c r="TH8" s="111"/>
      <c r="TI8" s="111"/>
      <c r="TJ8" s="111"/>
      <c r="TK8" s="111"/>
      <c r="TL8" s="111"/>
      <c r="TM8" s="111"/>
      <c r="TN8" s="111"/>
      <c r="TO8" s="111"/>
      <c r="TP8" s="111"/>
      <c r="TQ8" s="111"/>
      <c r="TR8" s="111"/>
      <c r="TS8" s="111"/>
      <c r="TT8" s="111"/>
      <c r="TU8" s="111"/>
      <c r="TV8" s="111"/>
      <c r="TW8" s="111"/>
      <c r="TX8" s="111"/>
      <c r="TY8" s="111"/>
      <c r="TZ8" s="111"/>
      <c r="UA8" s="111"/>
      <c r="UB8" s="111"/>
      <c r="UC8" s="111"/>
      <c r="UD8" s="111"/>
      <c r="UE8" s="111"/>
      <c r="UF8" s="111"/>
      <c r="UG8" s="111"/>
      <c r="UH8" s="111"/>
      <c r="UI8" s="111"/>
      <c r="UJ8" s="111"/>
      <c r="UK8" s="111"/>
      <c r="UL8" s="111"/>
      <c r="UM8" s="111"/>
      <c r="UN8" s="111"/>
      <c r="UO8" s="111"/>
      <c r="UP8" s="111"/>
      <c r="UQ8" s="111"/>
      <c r="UR8" s="111"/>
      <c r="US8" s="111"/>
      <c r="UT8" s="111"/>
      <c r="UU8" s="111"/>
      <c r="UV8" s="111"/>
      <c r="UW8" s="111"/>
      <c r="UX8" s="111"/>
      <c r="UY8" s="111"/>
      <c r="UZ8" s="111"/>
      <c r="VA8" s="111"/>
      <c r="VB8" s="111"/>
      <c r="VC8" s="111"/>
      <c r="VD8" s="111"/>
      <c r="VE8" s="111"/>
      <c r="VF8" s="111"/>
      <c r="VG8" s="111"/>
      <c r="VH8" s="111"/>
      <c r="VI8" s="111"/>
      <c r="VJ8" s="111"/>
      <c r="VK8" s="111"/>
      <c r="VL8" s="111"/>
      <c r="VM8" s="111"/>
      <c r="VN8" s="111"/>
      <c r="VO8" s="111"/>
      <c r="VP8" s="111"/>
      <c r="VQ8" s="111"/>
      <c r="VR8" s="111"/>
      <c r="VS8" s="111"/>
      <c r="VT8" s="111"/>
      <c r="VU8" s="111"/>
      <c r="VV8" s="111"/>
      <c r="VW8" s="111"/>
      <c r="VX8" s="111"/>
      <c r="VY8" s="111"/>
      <c r="VZ8" s="111"/>
      <c r="WA8" s="111"/>
      <c r="WB8" s="111"/>
      <c r="WC8" s="111"/>
      <c r="WD8" s="111"/>
      <c r="WE8" s="111"/>
      <c r="WF8" s="111"/>
      <c r="WG8" s="111"/>
      <c r="WH8" s="111"/>
      <c r="WI8" s="111"/>
      <c r="WJ8" s="111"/>
      <c r="WK8" s="111"/>
      <c r="WL8" s="111"/>
      <c r="WM8" s="111"/>
      <c r="WN8" s="111"/>
      <c r="WO8" s="111"/>
      <c r="WP8" s="111"/>
      <c r="WQ8" s="111"/>
      <c r="WR8" s="111"/>
      <c r="WS8" s="111"/>
      <c r="WT8" s="111"/>
      <c r="WU8" s="111"/>
      <c r="WV8" s="111"/>
      <c r="WW8" s="111"/>
      <c r="WX8" s="111"/>
      <c r="WY8" s="111"/>
      <c r="WZ8" s="111"/>
      <c r="XA8" s="111"/>
      <c r="XB8" s="111"/>
      <c r="XC8" s="111"/>
      <c r="XD8" s="111"/>
      <c r="XE8" s="111"/>
      <c r="XF8" s="111"/>
      <c r="XG8" s="111"/>
      <c r="XH8" s="111"/>
      <c r="XI8" s="111"/>
      <c r="XJ8" s="111"/>
      <c r="XK8" s="111"/>
      <c r="XL8" s="111"/>
      <c r="XM8" s="111"/>
      <c r="XN8" s="111"/>
      <c r="XO8" s="111"/>
      <c r="XP8" s="111"/>
      <c r="XQ8" s="111"/>
      <c r="XR8" s="111"/>
      <c r="XS8" s="111"/>
      <c r="XT8" s="111"/>
      <c r="XU8" s="111"/>
      <c r="XV8" s="111"/>
      <c r="XW8" s="111"/>
      <c r="XX8" s="111"/>
      <c r="XY8" s="111"/>
      <c r="XZ8" s="111"/>
      <c r="YA8" s="111"/>
      <c r="YB8" s="111"/>
      <c r="YC8" s="111"/>
      <c r="YD8" s="111"/>
      <c r="YE8" s="111"/>
      <c r="YF8" s="111"/>
      <c r="YG8" s="111"/>
      <c r="YH8" s="111"/>
      <c r="YI8" s="111"/>
      <c r="YJ8" s="111"/>
      <c r="YK8" s="111"/>
      <c r="YL8" s="111"/>
      <c r="YM8" s="111"/>
      <c r="YN8" s="111"/>
      <c r="YO8" s="111"/>
      <c r="YP8" s="111"/>
      <c r="YQ8" s="111"/>
      <c r="YR8" s="111"/>
      <c r="YS8" s="111"/>
      <c r="YT8" s="111"/>
      <c r="YU8" s="111"/>
      <c r="YV8" s="111"/>
      <c r="YW8" s="111"/>
      <c r="YX8" s="111"/>
      <c r="YY8" s="111"/>
      <c r="YZ8" s="111"/>
      <c r="ZA8" s="111"/>
      <c r="ZB8" s="111"/>
      <c r="ZC8" s="111"/>
      <c r="ZD8" s="111"/>
      <c r="ZE8" s="111"/>
      <c r="ZF8" s="111"/>
      <c r="ZG8" s="111"/>
      <c r="ZH8" s="111"/>
      <c r="ZI8" s="111"/>
      <c r="ZJ8" s="111"/>
      <c r="ZK8" s="111"/>
      <c r="ZL8" s="111"/>
      <c r="ZM8" s="111"/>
      <c r="ZN8" s="111"/>
      <c r="ZO8" s="111"/>
      <c r="ZP8" s="111"/>
      <c r="ZQ8" s="111"/>
      <c r="ZR8" s="111"/>
      <c r="ZS8" s="111"/>
      <c r="ZT8" s="111"/>
      <c r="ZU8" s="111"/>
      <c r="ZV8" s="111"/>
      <c r="ZW8" s="111"/>
      <c r="ZX8" s="111"/>
      <c r="ZY8" s="111"/>
      <c r="ZZ8" s="111"/>
      <c r="AAA8" s="111"/>
      <c r="AAB8" s="111"/>
      <c r="AAC8" s="111"/>
      <c r="AAD8" s="111"/>
      <c r="AAE8" s="111"/>
      <c r="AAF8" s="111"/>
      <c r="AAG8" s="111"/>
      <c r="AAH8" s="111"/>
      <c r="AAI8" s="111"/>
      <c r="AAJ8" s="111"/>
      <c r="AAK8" s="111"/>
      <c r="AAL8" s="111"/>
      <c r="AAM8" s="111"/>
      <c r="AAN8" s="111"/>
      <c r="AAO8" s="111"/>
      <c r="AAP8" s="111"/>
      <c r="AAQ8" s="111"/>
      <c r="AAR8" s="111"/>
      <c r="AAS8" s="111"/>
      <c r="AAT8" s="111"/>
      <c r="AAU8" s="111"/>
      <c r="AAV8" s="111"/>
      <c r="AAW8" s="111"/>
      <c r="AAX8" s="111"/>
      <c r="AAY8" s="111"/>
      <c r="AAZ8" s="111"/>
      <c r="ABA8" s="111"/>
      <c r="ABB8" s="111"/>
      <c r="ABC8" s="111"/>
      <c r="ABD8" s="111"/>
      <c r="ABE8" s="111"/>
      <c r="ABF8" s="111"/>
      <c r="ABG8" s="111"/>
      <c r="ABH8" s="111"/>
      <c r="ABI8" s="111"/>
      <c r="ABJ8" s="111"/>
      <c r="ABK8" s="111"/>
      <c r="ABL8" s="111"/>
      <c r="ABM8" s="111"/>
      <c r="ABN8" s="111"/>
      <c r="ABO8" s="111"/>
      <c r="ABP8" s="111"/>
      <c r="ABQ8" s="111"/>
      <c r="ABR8" s="111"/>
      <c r="ABS8" s="111"/>
      <c r="ABT8" s="111"/>
      <c r="ABU8" s="111"/>
      <c r="ABV8" s="111"/>
      <c r="ABW8" s="111"/>
      <c r="ABX8" s="111"/>
      <c r="ABY8" s="111"/>
      <c r="ABZ8" s="111"/>
      <c r="ACA8" s="111"/>
      <c r="ACB8" s="111"/>
      <c r="ACC8" s="111"/>
      <c r="ACD8" s="111"/>
      <c r="ACE8" s="111"/>
      <c r="ACF8" s="111"/>
      <c r="ACG8" s="111"/>
      <c r="ACH8" s="111"/>
      <c r="ACI8" s="111"/>
      <c r="ACJ8" s="111"/>
      <c r="ACK8" s="111"/>
      <c r="ACL8" s="111"/>
      <c r="ACM8" s="111"/>
      <c r="ACN8" s="111"/>
      <c r="ACO8" s="111"/>
      <c r="ACP8" s="111"/>
      <c r="ACQ8" s="111"/>
      <c r="ACR8" s="111"/>
      <c r="ACS8" s="111"/>
      <c r="ACT8" s="111"/>
      <c r="ACU8" s="111"/>
      <c r="ACV8" s="111"/>
      <c r="ACW8" s="111"/>
      <c r="ACX8" s="111"/>
      <c r="ACY8" s="111"/>
      <c r="ACZ8" s="111"/>
      <c r="ADA8" s="111"/>
      <c r="ADB8" s="111"/>
      <c r="ADC8" s="111"/>
      <c r="ADD8" s="111"/>
      <c r="ADE8" s="111"/>
      <c r="ADF8" s="111"/>
      <c r="ADG8" s="111"/>
      <c r="ADH8" s="111"/>
      <c r="ADI8" s="111"/>
      <c r="ADJ8" s="111"/>
      <c r="ADK8" s="111"/>
      <c r="ADL8" s="111"/>
      <c r="ADM8" s="111"/>
      <c r="ADN8" s="111"/>
      <c r="ADO8" s="111"/>
      <c r="ADP8" s="111"/>
      <c r="ADQ8" s="111"/>
      <c r="ADR8" s="111"/>
      <c r="ADS8" s="111"/>
      <c r="ADT8" s="111"/>
    </row>
    <row r="9" spans="1:800" x14ac:dyDescent="0.4">
      <c r="A9" s="116" t="s">
        <v>241</v>
      </c>
      <c r="B9" s="116"/>
      <c r="C9" s="117" t="s">
        <v>2</v>
      </c>
      <c r="D9" s="108" t="s">
        <v>30</v>
      </c>
      <c r="E9" s="108" t="s">
        <v>26</v>
      </c>
      <c r="F9" s="108" t="s">
        <v>26</v>
      </c>
      <c r="G9" s="108" t="s">
        <v>165</v>
      </c>
      <c r="H9" s="108" t="s">
        <v>30</v>
      </c>
      <c r="I9" s="108" t="s">
        <v>26</v>
      </c>
      <c r="J9" s="108" t="s">
        <v>30</v>
      </c>
      <c r="K9" s="108" t="s">
        <v>26</v>
      </c>
      <c r="L9" s="108" t="s">
        <v>30</v>
      </c>
      <c r="M9" s="108" t="s">
        <v>26</v>
      </c>
      <c r="N9" s="108" t="s">
        <v>30</v>
      </c>
      <c r="O9" s="108" t="s">
        <v>30</v>
      </c>
      <c r="P9" s="108" t="s">
        <v>30</v>
      </c>
      <c r="Q9" s="108" t="s">
        <v>26</v>
      </c>
      <c r="R9" s="108" t="s">
        <v>30</v>
      </c>
      <c r="S9" s="108" t="s">
        <v>30</v>
      </c>
      <c r="T9" s="108" t="s">
        <v>26</v>
      </c>
      <c r="U9" s="108" t="s">
        <v>26</v>
      </c>
      <c r="V9" s="108" t="s">
        <v>30</v>
      </c>
      <c r="W9" s="108" t="s">
        <v>30</v>
      </c>
      <c r="X9" s="108" t="s">
        <v>26</v>
      </c>
      <c r="Y9" s="108" t="s">
        <v>30</v>
      </c>
      <c r="Z9" s="108" t="s">
        <v>30</v>
      </c>
      <c r="AA9" s="108" t="s">
        <v>30</v>
      </c>
      <c r="AB9" s="108" t="s">
        <v>26</v>
      </c>
      <c r="AC9" s="108" t="s">
        <v>30</v>
      </c>
      <c r="AD9" s="108" t="s">
        <v>26</v>
      </c>
      <c r="AE9" s="108" t="s">
        <v>30</v>
      </c>
    </row>
    <row r="10" spans="1:800" x14ac:dyDescent="0.4">
      <c r="A10" s="116" t="s">
        <v>242</v>
      </c>
      <c r="B10" s="116"/>
      <c r="C10" s="117" t="s">
        <v>83</v>
      </c>
      <c r="H10" s="108" t="s">
        <v>166</v>
      </c>
      <c r="I10" s="108" t="s">
        <v>167</v>
      </c>
    </row>
    <row r="11" spans="1:800" x14ac:dyDescent="0.4">
      <c r="A11" s="116" t="s">
        <v>243</v>
      </c>
      <c r="B11" s="116"/>
      <c r="C11" s="117" t="s">
        <v>3</v>
      </c>
      <c r="D11" s="108">
        <v>100</v>
      </c>
      <c r="E11" s="108">
        <v>100</v>
      </c>
      <c r="F11" s="108">
        <v>100</v>
      </c>
      <c r="G11" s="108">
        <v>100</v>
      </c>
      <c r="H11" s="108">
        <v>100</v>
      </c>
      <c r="I11" s="108">
        <v>100</v>
      </c>
      <c r="J11" s="108">
        <v>100</v>
      </c>
      <c r="K11" s="108">
        <v>100</v>
      </c>
      <c r="L11" s="108">
        <v>100</v>
      </c>
      <c r="M11" s="108">
        <v>100</v>
      </c>
      <c r="N11" s="108">
        <v>130</v>
      </c>
      <c r="O11" s="108">
        <v>130</v>
      </c>
      <c r="P11" s="108">
        <v>100</v>
      </c>
      <c r="Q11" s="108">
        <v>100</v>
      </c>
      <c r="R11" s="108">
        <v>100</v>
      </c>
      <c r="S11" s="108">
        <v>100</v>
      </c>
      <c r="T11" s="108">
        <v>100</v>
      </c>
      <c r="U11" s="108">
        <v>100</v>
      </c>
      <c r="V11" s="108">
        <v>100</v>
      </c>
      <c r="W11" s="108">
        <v>100</v>
      </c>
      <c r="X11" s="108">
        <v>100</v>
      </c>
      <c r="Y11" s="108">
        <v>30</v>
      </c>
      <c r="Z11" s="108">
        <v>100</v>
      </c>
      <c r="AA11" s="108">
        <v>100</v>
      </c>
      <c r="AB11" s="108">
        <v>100</v>
      </c>
      <c r="AC11" s="108">
        <v>100</v>
      </c>
      <c r="AD11" s="108">
        <v>100</v>
      </c>
      <c r="AE11" s="108">
        <v>100</v>
      </c>
    </row>
    <row r="12" spans="1:800" x14ac:dyDescent="0.4">
      <c r="A12" s="116"/>
      <c r="B12" s="116"/>
      <c r="C12" s="117" t="s">
        <v>72</v>
      </c>
      <c r="N12" s="108">
        <v>120</v>
      </c>
      <c r="O12" s="108">
        <v>120</v>
      </c>
    </row>
    <row r="13" spans="1:800" x14ac:dyDescent="0.4">
      <c r="A13" s="116"/>
      <c r="B13" s="116"/>
      <c r="C13" s="117" t="s">
        <v>73</v>
      </c>
    </row>
    <row r="14" spans="1:800" x14ac:dyDescent="0.4">
      <c r="A14" s="116"/>
      <c r="B14" s="116"/>
      <c r="C14" s="117" t="s">
        <v>71</v>
      </c>
    </row>
    <row r="15" spans="1:800" x14ac:dyDescent="0.4">
      <c r="A15" s="116"/>
      <c r="B15" s="116"/>
      <c r="C15" s="117" t="s">
        <v>74</v>
      </c>
      <c r="N15" s="108">
        <v>100</v>
      </c>
      <c r="O15" s="108">
        <v>100</v>
      </c>
    </row>
    <row r="16" spans="1:800" x14ac:dyDescent="0.4">
      <c r="A16" s="116"/>
      <c r="B16" s="116"/>
      <c r="C16" s="117" t="s">
        <v>76</v>
      </c>
    </row>
    <row r="17" spans="1:31" x14ac:dyDescent="0.4">
      <c r="A17" s="116" t="s">
        <v>244</v>
      </c>
      <c r="B17" s="116"/>
      <c r="C17" s="117" t="s">
        <v>77</v>
      </c>
      <c r="D17" s="108">
        <f>調整後配点計算(D11,D12,D14,D15)</f>
        <v>100</v>
      </c>
      <c r="E17" s="108">
        <f>調整後配点計算(E11,E12,E14,E15)</f>
        <v>100</v>
      </c>
      <c r="F17" s="108">
        <f>調整後配点計算(F11,F12,F14,F15)</f>
        <v>100</v>
      </c>
      <c r="G17" s="108">
        <f>調整後配点計算(G11,G12,G14,G15)</f>
        <v>100</v>
      </c>
      <c r="H17" s="108">
        <f>調整後配点計算(H11,H12,H14,H15)</f>
        <v>100</v>
      </c>
      <c r="I17" s="108">
        <f>調整後配点計算(I11,I12,I14,I15)</f>
        <v>100</v>
      </c>
      <c r="J17" s="108">
        <f>調整後配点計算(J11,J12,J14,J15)</f>
        <v>100</v>
      </c>
      <c r="K17" s="108">
        <f>調整後配点計算(K11,K12,K14,K15)</f>
        <v>100</v>
      </c>
      <c r="L17" s="108">
        <f>調整後配点計算(L11,L12,L14,L15)</f>
        <v>100</v>
      </c>
      <c r="M17" s="108">
        <f>調整後配点計算(M11,M12,M14,M15)</f>
        <v>100</v>
      </c>
      <c r="N17" s="108">
        <f>調整後配点計算(N11,N12,N14,N15)</f>
        <v>100</v>
      </c>
      <c r="O17" s="108">
        <f>調整後配点計算(O11,O12,O14,O15)</f>
        <v>100</v>
      </c>
      <c r="P17" s="108">
        <f>調整後配点計算(P11,P12,P14,P15)</f>
        <v>100</v>
      </c>
      <c r="Q17" s="108">
        <f>調整後配点計算(Q11,Q12,Q14,Q15)</f>
        <v>100</v>
      </c>
      <c r="R17" s="108">
        <f>調整後配点計算(R11,R12,R14,R15)</f>
        <v>100</v>
      </c>
      <c r="S17" s="108">
        <f>調整後配点計算(S11,S12,S14,S15)</f>
        <v>100</v>
      </c>
      <c r="T17" s="108">
        <f>調整後配点計算(T11,T12,T14,T15)</f>
        <v>100</v>
      </c>
      <c r="U17" s="108">
        <f>調整後配点計算(U11,U12,U14,U15)</f>
        <v>100</v>
      </c>
      <c r="V17" s="108">
        <f>調整後配点計算(V11,V12,V14,V15)</f>
        <v>100</v>
      </c>
      <c r="W17" s="108">
        <f>調整後配点計算(W11,W12,W14,W15)</f>
        <v>100</v>
      </c>
      <c r="X17" s="108">
        <f>調整後配点計算(X11,X12,X14,X15)</f>
        <v>100</v>
      </c>
      <c r="Y17" s="108">
        <f>調整後配点計算(Y11,Y12,Y14,Y15)</f>
        <v>30</v>
      </c>
      <c r="Z17" s="108">
        <f>調整後配点計算(Z11,Z12,Z14,Z15)</f>
        <v>100</v>
      </c>
      <c r="AA17" s="108">
        <f>調整後配点計算(AA11,AA12,AA14,AA15)</f>
        <v>100</v>
      </c>
      <c r="AB17" s="108">
        <f>調整後配点計算(AB11,AB12,AB14,AB15)</f>
        <v>100</v>
      </c>
      <c r="AC17" s="108">
        <f>調整後配点計算(AC11,AC12,AC14,AC15)</f>
        <v>100</v>
      </c>
      <c r="AD17" s="108">
        <f>調整後配点計算(AD11,AD12,AD14,AD15)</f>
        <v>100</v>
      </c>
      <c r="AE17" s="108">
        <f>調整後配点計算(AE11,AE12,AE14,AE15)</f>
        <v>100</v>
      </c>
    </row>
    <row r="18" spans="1:31" x14ac:dyDescent="0.4">
      <c r="A18" s="116" t="s">
        <v>245</v>
      </c>
      <c r="B18" s="116"/>
      <c r="C18" s="117" t="s">
        <v>61</v>
      </c>
      <c r="D18" s="108">
        <v>1</v>
      </c>
      <c r="E18" s="108">
        <v>1</v>
      </c>
      <c r="F18" s="108">
        <v>1</v>
      </c>
      <c r="G18" s="108">
        <v>1</v>
      </c>
      <c r="H18" s="108">
        <v>1</v>
      </c>
      <c r="I18" s="108">
        <v>1</v>
      </c>
      <c r="J18" s="108">
        <v>1</v>
      </c>
      <c r="K18" s="108">
        <v>1</v>
      </c>
      <c r="L18" s="108">
        <v>1</v>
      </c>
      <c r="M18" s="108">
        <v>1</v>
      </c>
      <c r="N18" s="108">
        <v>1</v>
      </c>
      <c r="O18" s="108">
        <v>1</v>
      </c>
      <c r="P18" s="108">
        <v>1</v>
      </c>
      <c r="Q18" s="108">
        <v>1</v>
      </c>
      <c r="R18" s="108">
        <v>1</v>
      </c>
      <c r="S18" s="108">
        <v>1</v>
      </c>
      <c r="T18" s="108">
        <v>1</v>
      </c>
      <c r="U18" s="108">
        <v>1</v>
      </c>
      <c r="V18" s="108">
        <v>1</v>
      </c>
      <c r="W18" s="108">
        <v>1</v>
      </c>
      <c r="X18" s="108">
        <v>1</v>
      </c>
      <c r="Y18" s="108">
        <v>1</v>
      </c>
      <c r="Z18" s="108">
        <v>1</v>
      </c>
      <c r="AA18" s="108">
        <v>1</v>
      </c>
      <c r="AB18" s="108">
        <v>1</v>
      </c>
      <c r="AC18" s="108">
        <v>1</v>
      </c>
      <c r="AD18" s="108">
        <v>1</v>
      </c>
      <c r="AE18" s="108">
        <v>1</v>
      </c>
    </row>
    <row r="19" spans="1:31" x14ac:dyDescent="0.4">
      <c r="A19" s="116" t="s">
        <v>246</v>
      </c>
      <c r="B19" s="116"/>
      <c r="C19" s="117" t="s">
        <v>11</v>
      </c>
      <c r="D19" s="108">
        <f t="shared" ref="D19:K19" si="0">AVERAGE(D23:D62)</f>
        <v>85.241379310344826</v>
      </c>
      <c r="E19" s="108">
        <f t="shared" si="0"/>
        <v>69.5</v>
      </c>
      <c r="F19" s="108">
        <f t="shared" si="0"/>
        <v>75.166666666666671</v>
      </c>
      <c r="G19" s="108">
        <f t="shared" si="0"/>
        <v>84.689655172413794</v>
      </c>
      <c r="H19" s="108">
        <f t="shared" si="0"/>
        <v>80</v>
      </c>
      <c r="I19" s="108">
        <f t="shared" si="0"/>
        <v>80.333333333333329</v>
      </c>
      <c r="J19" s="108">
        <f t="shared" si="0"/>
        <v>79.933333333333337</v>
      </c>
      <c r="K19" s="108">
        <f t="shared" si="0"/>
        <v>78.166666666666671</v>
      </c>
      <c r="L19" s="108">
        <f>AVERAGE(L23:L62)</f>
        <v>81.103448275862064</v>
      </c>
      <c r="M19" s="108">
        <f>AVERAGE(M23:M62)</f>
        <v>85.2</v>
      </c>
      <c r="N19" s="108">
        <f>AVERAGE(N23:N62)</f>
        <v>102.24137931034483</v>
      </c>
      <c r="O19" s="108">
        <f>AVERAGE(O23:O62)</f>
        <v>105.3</v>
      </c>
      <c r="P19" s="108" t="e">
        <f t="shared" ref="P19:AB19" si="1">AVERAGEIFS(P23:P62,P23:P62,"&lt;&gt;N",P23:P62,"&lt;&gt;-")</f>
        <v>#DIV/0!</v>
      </c>
      <c r="Q19" s="108">
        <f t="shared" si="1"/>
        <v>75</v>
      </c>
      <c r="R19" s="108" t="e">
        <f t="shared" si="1"/>
        <v>#DIV/0!</v>
      </c>
      <c r="S19" s="108" t="e">
        <f t="shared" si="1"/>
        <v>#DIV/0!</v>
      </c>
      <c r="T19" s="108" t="e">
        <f t="shared" si="1"/>
        <v>#DIV/0!</v>
      </c>
      <c r="U19" s="108" t="e">
        <f t="shared" si="1"/>
        <v>#DIV/0!</v>
      </c>
      <c r="V19" s="108" t="e">
        <f t="shared" si="1"/>
        <v>#DIV/0!</v>
      </c>
      <c r="W19" s="108">
        <f t="shared" si="1"/>
        <v>94.033333333333331</v>
      </c>
      <c r="X19" s="108" t="e">
        <f t="shared" si="1"/>
        <v>#DIV/0!</v>
      </c>
      <c r="Y19" s="108" t="e">
        <f t="shared" si="1"/>
        <v>#DIV/0!</v>
      </c>
      <c r="Z19" s="108" t="e">
        <f t="shared" si="1"/>
        <v>#DIV/0!</v>
      </c>
      <c r="AA19" s="108" t="e">
        <f t="shared" si="1"/>
        <v>#DIV/0!</v>
      </c>
      <c r="AB19" s="108">
        <f t="shared" si="1"/>
        <v>89.933333333333337</v>
      </c>
      <c r="AC19" s="108" t="e">
        <f>AVERAGEIFS(AC23:AC62,AC23:AC62,"&lt;&gt;N",AC23:AC62,"&lt;&gt;-")</f>
        <v>#DIV/0!</v>
      </c>
      <c r="AD19" s="108" t="e">
        <f>AVERAGEIFS(AD23:AD62,AD23:AD62,"&lt;&gt;N",AD23:AD62,"&lt;&gt;-")</f>
        <v>#DIV/0!</v>
      </c>
      <c r="AE19" s="108" t="e">
        <f>AVERAGEIFS(AE23:AE62,AE23:AE62,"&lt;&gt;N",AE23:AE62,"&lt;&gt;-")</f>
        <v>#DIV/0!</v>
      </c>
    </row>
    <row r="20" spans="1:31" x14ac:dyDescent="0.4">
      <c r="A20" s="116" t="s">
        <v>247</v>
      </c>
      <c r="B20" s="116"/>
      <c r="C20" s="117" t="s">
        <v>12</v>
      </c>
      <c r="D20" s="108">
        <f t="shared" ref="D20:K20" si="2">MEDIAN(D23:D62)</f>
        <v>85</v>
      </c>
      <c r="E20" s="108">
        <f t="shared" si="2"/>
        <v>69.5</v>
      </c>
      <c r="F20" s="108">
        <f t="shared" si="2"/>
        <v>75.5</v>
      </c>
      <c r="G20" s="108">
        <f t="shared" si="2"/>
        <v>85</v>
      </c>
      <c r="H20" s="108">
        <f t="shared" si="2"/>
        <v>80</v>
      </c>
      <c r="I20" s="108">
        <f t="shared" si="2"/>
        <v>80</v>
      </c>
      <c r="J20" s="108">
        <f t="shared" si="2"/>
        <v>80</v>
      </c>
      <c r="K20" s="108">
        <f t="shared" si="2"/>
        <v>80</v>
      </c>
      <c r="L20" s="108">
        <f t="shared" ref="L20:AB20" si="3">MEDIAN(L23:L62)</f>
        <v>79</v>
      </c>
      <c r="M20" s="108">
        <f t="shared" si="3"/>
        <v>86</v>
      </c>
      <c r="N20" s="108">
        <f t="shared" si="3"/>
        <v>101</v>
      </c>
      <c r="O20" s="108">
        <f t="shared" si="3"/>
        <v>104</v>
      </c>
      <c r="P20" s="108" t="e">
        <f t="shared" si="3"/>
        <v>#NUM!</v>
      </c>
      <c r="Q20" s="108">
        <f t="shared" si="3"/>
        <v>75</v>
      </c>
      <c r="R20" s="108" t="e">
        <f t="shared" si="3"/>
        <v>#NUM!</v>
      </c>
      <c r="S20" s="108" t="e">
        <f t="shared" si="3"/>
        <v>#NUM!</v>
      </c>
      <c r="T20" s="108" t="e">
        <f t="shared" si="3"/>
        <v>#NUM!</v>
      </c>
      <c r="U20" s="108" t="e">
        <f t="shared" si="3"/>
        <v>#NUM!</v>
      </c>
      <c r="V20" s="108" t="e">
        <f t="shared" si="3"/>
        <v>#NUM!</v>
      </c>
      <c r="W20" s="108">
        <f t="shared" si="3"/>
        <v>94</v>
      </c>
      <c r="X20" s="108" t="e">
        <f t="shared" si="3"/>
        <v>#NUM!</v>
      </c>
      <c r="Y20" s="108" t="e">
        <f t="shared" si="3"/>
        <v>#NUM!</v>
      </c>
      <c r="Z20" s="108" t="e">
        <f t="shared" si="3"/>
        <v>#NUM!</v>
      </c>
      <c r="AA20" s="108" t="e">
        <f t="shared" si="3"/>
        <v>#NUM!</v>
      </c>
      <c r="AB20" s="108">
        <f t="shared" si="3"/>
        <v>90</v>
      </c>
      <c r="AC20" s="108" t="e">
        <f>MEDIAN(AC23:AC62)</f>
        <v>#NUM!</v>
      </c>
      <c r="AD20" s="108" t="e">
        <f>MEDIAN(AD23:AD62)</f>
        <v>#NUM!</v>
      </c>
      <c r="AE20" s="108" t="e">
        <f>MEDIAN(AE23:AE62)</f>
        <v>#NUM!</v>
      </c>
    </row>
    <row r="21" spans="1:31" x14ac:dyDescent="0.4">
      <c r="A21" s="116" t="s">
        <v>248</v>
      </c>
      <c r="B21" s="116"/>
      <c r="C21" s="117" t="s">
        <v>13</v>
      </c>
      <c r="D21" s="108">
        <f t="shared" ref="D21:K21" si="4">_xlfn.STDEV.P(D23:D62)</f>
        <v>8.6886972652100436</v>
      </c>
      <c r="E21" s="108">
        <f t="shared" si="4"/>
        <v>8.6554414483991895</v>
      </c>
      <c r="F21" s="108">
        <f t="shared" si="4"/>
        <v>8.8960040967216791</v>
      </c>
      <c r="G21" s="108">
        <f t="shared" si="4"/>
        <v>8.7419063977659253</v>
      </c>
      <c r="H21" s="108">
        <f t="shared" si="4"/>
        <v>0</v>
      </c>
      <c r="I21" s="108">
        <f t="shared" si="4"/>
        <v>1.7950549357115027</v>
      </c>
      <c r="J21" s="108">
        <f t="shared" si="4"/>
        <v>0.35901098714230018</v>
      </c>
      <c r="K21" s="108">
        <f t="shared" si="4"/>
        <v>9.8728021464132585</v>
      </c>
      <c r="L21" s="108">
        <f t="shared" ref="L21:AB21" si="5">_xlfn.STDEV.P(L23:L62)</f>
        <v>8.7389134793204555</v>
      </c>
      <c r="M21" s="108">
        <f t="shared" si="5"/>
        <v>7.4672618810377882</v>
      </c>
      <c r="N21" s="108">
        <f t="shared" si="5"/>
        <v>11.731640601422772</v>
      </c>
      <c r="O21" s="108">
        <f t="shared" si="5"/>
        <v>14.234113952051951</v>
      </c>
      <c r="P21" s="108" t="e">
        <f t="shared" si="5"/>
        <v>#DIV/0!</v>
      </c>
      <c r="Q21" s="108">
        <f t="shared" si="5"/>
        <v>0</v>
      </c>
      <c r="R21" s="108" t="e">
        <f t="shared" si="5"/>
        <v>#DIV/0!</v>
      </c>
      <c r="S21" s="108" t="e">
        <f t="shared" si="5"/>
        <v>#DIV/0!</v>
      </c>
      <c r="T21" s="108" t="e">
        <f t="shared" si="5"/>
        <v>#DIV/0!</v>
      </c>
      <c r="U21" s="108" t="e">
        <f t="shared" si="5"/>
        <v>#DIV/0!</v>
      </c>
      <c r="V21" s="108" t="e">
        <f t="shared" si="5"/>
        <v>#DIV/0!</v>
      </c>
      <c r="W21" s="108">
        <f t="shared" si="5"/>
        <v>3.3712839624623081</v>
      </c>
      <c r="X21" s="108" t="e">
        <f t="shared" si="5"/>
        <v>#DIV/0!</v>
      </c>
      <c r="Y21" s="108" t="e">
        <f t="shared" si="5"/>
        <v>#DIV/0!</v>
      </c>
      <c r="Z21" s="108" t="e">
        <f t="shared" si="5"/>
        <v>#DIV/0!</v>
      </c>
      <c r="AA21" s="108" t="e">
        <f t="shared" si="5"/>
        <v>#DIV/0!</v>
      </c>
      <c r="AB21" s="108">
        <f t="shared" si="5"/>
        <v>5.5733492822738304</v>
      </c>
      <c r="AC21" s="108" t="e">
        <f>_xlfn.STDEV.P(AC23:AC62)</f>
        <v>#DIV/0!</v>
      </c>
      <c r="AD21" s="108" t="e">
        <f>_xlfn.STDEV.P(AD23:AD62)</f>
        <v>#DIV/0!</v>
      </c>
      <c r="AE21" s="108" t="e">
        <f>_xlfn.STDEV.P(AE23:AE62)</f>
        <v>#DIV/0!</v>
      </c>
    </row>
    <row r="22" spans="1:31" ht="17.25" thickBot="1" x14ac:dyDescent="0.45">
      <c r="A22" s="118" t="s">
        <v>249</v>
      </c>
      <c r="B22" s="119"/>
      <c r="C22" s="118" t="s">
        <v>23</v>
      </c>
      <c r="D22" s="108">
        <f t="shared" ref="D22:K22" si="6">D21/D19</f>
        <v>0.10193050998830552</v>
      </c>
      <c r="E22" s="108">
        <f t="shared" si="6"/>
        <v>0.12453872587624733</v>
      </c>
      <c r="F22" s="108">
        <f t="shared" si="6"/>
        <v>0.11835038709607555</v>
      </c>
      <c r="G22" s="108">
        <f t="shared" si="6"/>
        <v>0.10322283612997224</v>
      </c>
      <c r="H22" s="108">
        <f t="shared" si="6"/>
        <v>0</v>
      </c>
      <c r="I22" s="108">
        <f t="shared" si="6"/>
        <v>2.2345082187280117E-2</v>
      </c>
      <c r="J22" s="108">
        <f t="shared" si="6"/>
        <v>4.4913801560754812E-3</v>
      </c>
      <c r="K22" s="108">
        <f t="shared" si="6"/>
        <v>0.12630450507138496</v>
      </c>
      <c r="L22" s="108">
        <f t="shared" ref="L22:AB22" si="7">L21/L19</f>
        <v>0.10775020871611106</v>
      </c>
      <c r="M22" s="108">
        <f t="shared" si="7"/>
        <v>8.7643918791523334E-2</v>
      </c>
      <c r="N22" s="108">
        <f t="shared" si="7"/>
        <v>0.1147445455113863</v>
      </c>
      <c r="O22" s="108">
        <f t="shared" si="7"/>
        <v>0.13517677067475736</v>
      </c>
      <c r="P22" s="108" t="e">
        <f t="shared" si="7"/>
        <v>#DIV/0!</v>
      </c>
      <c r="Q22" s="108">
        <f t="shared" si="7"/>
        <v>0</v>
      </c>
      <c r="R22" s="108" t="e">
        <f t="shared" si="7"/>
        <v>#DIV/0!</v>
      </c>
      <c r="S22" s="108" t="e">
        <f t="shared" si="7"/>
        <v>#DIV/0!</v>
      </c>
      <c r="T22" s="108" t="e">
        <f t="shared" si="7"/>
        <v>#DIV/0!</v>
      </c>
      <c r="U22" s="108" t="e">
        <f t="shared" si="7"/>
        <v>#DIV/0!</v>
      </c>
      <c r="V22" s="108" t="e">
        <f t="shared" si="7"/>
        <v>#DIV/0!</v>
      </c>
      <c r="W22" s="108">
        <f t="shared" si="7"/>
        <v>3.5852009526362721E-2</v>
      </c>
      <c r="X22" s="108" t="e">
        <f t="shared" si="7"/>
        <v>#DIV/0!</v>
      </c>
      <c r="Y22" s="108" t="e">
        <f t="shared" si="7"/>
        <v>#DIV/0!</v>
      </c>
      <c r="Z22" s="108" t="e">
        <f t="shared" si="7"/>
        <v>#DIV/0!</v>
      </c>
      <c r="AA22" s="108" t="e">
        <f t="shared" si="7"/>
        <v>#DIV/0!</v>
      </c>
      <c r="AB22" s="108">
        <f t="shared" si="7"/>
        <v>6.1972008327729762E-2</v>
      </c>
      <c r="AC22" s="108" t="e">
        <f>AC21/AC19</f>
        <v>#DIV/0!</v>
      </c>
      <c r="AD22" s="108" t="e">
        <f>AD21/AD19</f>
        <v>#DIV/0!</v>
      </c>
      <c r="AE22" s="108" t="e">
        <f>AE21/AE19</f>
        <v>#DIV/0!</v>
      </c>
    </row>
    <row r="23" spans="1:31" x14ac:dyDescent="0.35">
      <c r="A23" s="112" t="str">
        <f>名簿!B11&amp;""</f>
        <v>10010001</v>
      </c>
      <c r="B23" s="108" t="str">
        <f>名簿!C11&amp;""</f>
        <v>田中</v>
      </c>
      <c r="C23" s="108" t="str">
        <f>名簿!D11&amp;""</f>
        <v>雄介</v>
      </c>
      <c r="D23" s="145">
        <v>100</v>
      </c>
      <c r="E23" s="145">
        <v>55</v>
      </c>
      <c r="F23" s="145">
        <v>60</v>
      </c>
      <c r="G23" s="145">
        <v>99</v>
      </c>
      <c r="H23" s="145">
        <v>80</v>
      </c>
      <c r="I23" s="145">
        <v>80</v>
      </c>
      <c r="J23" s="145">
        <v>80</v>
      </c>
      <c r="K23" s="145">
        <v>80</v>
      </c>
      <c r="L23" s="145">
        <v>73</v>
      </c>
      <c r="M23" s="145">
        <v>84</v>
      </c>
      <c r="N23" s="145">
        <v>112</v>
      </c>
      <c r="O23" s="145">
        <v>98</v>
      </c>
      <c r="P23" s="145" t="s">
        <v>205</v>
      </c>
      <c r="Q23" s="145">
        <v>75</v>
      </c>
      <c r="R23" s="145" t="s">
        <v>205</v>
      </c>
      <c r="S23" s="145" t="s">
        <v>205</v>
      </c>
      <c r="T23" s="145" t="s">
        <v>205</v>
      </c>
      <c r="U23" s="145" t="s">
        <v>205</v>
      </c>
      <c r="V23" s="145" t="s">
        <v>205</v>
      </c>
      <c r="W23" s="145">
        <v>100</v>
      </c>
      <c r="X23" s="145" t="s">
        <v>205</v>
      </c>
      <c r="Y23" s="145" t="s">
        <v>205</v>
      </c>
      <c r="Z23" s="145" t="s">
        <v>205</v>
      </c>
      <c r="AA23" s="145" t="s">
        <v>205</v>
      </c>
      <c r="AB23" s="145">
        <v>99</v>
      </c>
      <c r="AC23" s="145" t="s">
        <v>205</v>
      </c>
      <c r="AD23" s="145" t="s">
        <v>205</v>
      </c>
      <c r="AE23" s="145" t="s">
        <v>205</v>
      </c>
    </row>
    <row r="24" spans="1:31" x14ac:dyDescent="0.35">
      <c r="A24" s="112" t="str">
        <f>名簿!B12&amp;""</f>
        <v>10010002</v>
      </c>
      <c r="B24" s="108" t="str">
        <f>名簿!C12&amp;""</f>
        <v>佐藤</v>
      </c>
      <c r="C24" s="108" t="str">
        <f>名簿!D12&amp;""</f>
        <v>凛</v>
      </c>
      <c r="D24" s="145">
        <v>99</v>
      </c>
      <c r="E24" s="145">
        <v>56</v>
      </c>
      <c r="F24" s="145">
        <v>61</v>
      </c>
      <c r="G24" s="145">
        <v>98</v>
      </c>
      <c r="H24" s="145">
        <v>80</v>
      </c>
      <c r="I24" s="145">
        <v>80</v>
      </c>
      <c r="J24" s="145">
        <v>80</v>
      </c>
      <c r="K24" s="145">
        <v>80</v>
      </c>
      <c r="L24" s="145">
        <v>71</v>
      </c>
      <c r="M24" s="145">
        <v>71</v>
      </c>
      <c r="N24" s="145">
        <v>89</v>
      </c>
      <c r="O24" s="145">
        <v>126</v>
      </c>
      <c r="P24" s="145" t="s">
        <v>205</v>
      </c>
      <c r="Q24" s="145">
        <v>75</v>
      </c>
      <c r="R24" s="145" t="s">
        <v>205</v>
      </c>
      <c r="S24" s="145" t="s">
        <v>205</v>
      </c>
      <c r="T24" s="145" t="s">
        <v>205</v>
      </c>
      <c r="U24" s="145" t="s">
        <v>205</v>
      </c>
      <c r="V24" s="145" t="s">
        <v>205</v>
      </c>
      <c r="W24" s="145">
        <v>99</v>
      </c>
      <c r="X24" s="145" t="s">
        <v>205</v>
      </c>
      <c r="Y24" s="145" t="s">
        <v>205</v>
      </c>
      <c r="Z24" s="145" t="s">
        <v>205</v>
      </c>
      <c r="AA24" s="145" t="s">
        <v>205</v>
      </c>
      <c r="AB24" s="145">
        <v>98</v>
      </c>
      <c r="AC24" s="145" t="s">
        <v>205</v>
      </c>
      <c r="AD24" s="145" t="s">
        <v>205</v>
      </c>
      <c r="AE24" s="145" t="s">
        <v>205</v>
      </c>
    </row>
    <row r="25" spans="1:31" x14ac:dyDescent="0.35">
      <c r="A25" s="112" t="str">
        <f>名簿!B13&amp;""</f>
        <v>10010003</v>
      </c>
      <c r="B25" s="108" t="str">
        <f>名簿!C13&amp;""</f>
        <v>鈴木</v>
      </c>
      <c r="C25" s="108" t="str">
        <f>名簿!D13&amp;""</f>
        <v>誠</v>
      </c>
      <c r="D25" s="145">
        <v>98</v>
      </c>
      <c r="E25" s="145">
        <v>57</v>
      </c>
      <c r="F25" s="145">
        <v>62</v>
      </c>
      <c r="G25" s="145">
        <v>97</v>
      </c>
      <c r="H25" s="145">
        <v>80</v>
      </c>
      <c r="I25" s="145">
        <v>80</v>
      </c>
      <c r="J25" s="145">
        <v>80</v>
      </c>
      <c r="K25" s="145">
        <v>80</v>
      </c>
      <c r="L25" s="145">
        <v>71</v>
      </c>
      <c r="M25" s="145">
        <v>72</v>
      </c>
      <c r="N25" s="145">
        <v>90</v>
      </c>
      <c r="O25" s="145">
        <v>125</v>
      </c>
      <c r="P25" s="145" t="s">
        <v>205</v>
      </c>
      <c r="Q25" s="145">
        <v>75</v>
      </c>
      <c r="R25" s="145" t="s">
        <v>205</v>
      </c>
      <c r="S25" s="145" t="s">
        <v>205</v>
      </c>
      <c r="T25" s="145" t="s">
        <v>205</v>
      </c>
      <c r="U25" s="145" t="s">
        <v>205</v>
      </c>
      <c r="V25" s="145" t="s">
        <v>205</v>
      </c>
      <c r="W25" s="145">
        <v>98</v>
      </c>
      <c r="X25" s="145" t="s">
        <v>205</v>
      </c>
      <c r="Y25" s="145" t="s">
        <v>205</v>
      </c>
      <c r="Z25" s="145" t="s">
        <v>205</v>
      </c>
      <c r="AA25" s="145" t="s">
        <v>205</v>
      </c>
      <c r="AB25" s="145">
        <v>97</v>
      </c>
      <c r="AC25" s="145" t="s">
        <v>205</v>
      </c>
      <c r="AD25" s="145" t="s">
        <v>205</v>
      </c>
      <c r="AE25" s="145" t="s">
        <v>205</v>
      </c>
    </row>
    <row r="26" spans="1:31" x14ac:dyDescent="0.35">
      <c r="A26" s="112" t="str">
        <f>名簿!B14&amp;""</f>
        <v>10010004</v>
      </c>
      <c r="B26" s="108" t="str">
        <f>名簿!C14&amp;""</f>
        <v>高橋</v>
      </c>
      <c r="C26" s="108" t="str">
        <f>名簿!D14&amp;""</f>
        <v>美優</v>
      </c>
      <c r="D26" s="145">
        <v>97</v>
      </c>
      <c r="E26" s="145">
        <v>58</v>
      </c>
      <c r="F26" s="145">
        <v>63</v>
      </c>
      <c r="G26" s="145">
        <v>96</v>
      </c>
      <c r="H26" s="145">
        <v>80</v>
      </c>
      <c r="I26" s="145">
        <v>80</v>
      </c>
      <c r="J26" s="145">
        <v>80</v>
      </c>
      <c r="K26" s="145">
        <v>80</v>
      </c>
      <c r="L26" s="145">
        <v>99</v>
      </c>
      <c r="M26" s="145">
        <v>75</v>
      </c>
      <c r="N26" s="145">
        <v>91</v>
      </c>
      <c r="O26" s="145">
        <v>96</v>
      </c>
      <c r="P26" s="145" t="s">
        <v>205</v>
      </c>
      <c r="Q26" s="145">
        <v>75</v>
      </c>
      <c r="R26" s="145" t="s">
        <v>205</v>
      </c>
      <c r="S26" s="145" t="s">
        <v>205</v>
      </c>
      <c r="T26" s="145" t="s">
        <v>205</v>
      </c>
      <c r="U26" s="145" t="s">
        <v>205</v>
      </c>
      <c r="V26" s="145" t="s">
        <v>205</v>
      </c>
      <c r="W26" s="145">
        <v>98</v>
      </c>
      <c r="X26" s="145" t="s">
        <v>205</v>
      </c>
      <c r="Y26" s="145" t="s">
        <v>205</v>
      </c>
      <c r="Z26" s="145" t="s">
        <v>205</v>
      </c>
      <c r="AA26" s="145" t="s">
        <v>205</v>
      </c>
      <c r="AB26" s="145">
        <v>96</v>
      </c>
      <c r="AC26" s="145" t="s">
        <v>205</v>
      </c>
      <c r="AD26" s="145" t="s">
        <v>205</v>
      </c>
      <c r="AE26" s="145" t="s">
        <v>205</v>
      </c>
    </row>
    <row r="27" spans="1:31" x14ac:dyDescent="0.35">
      <c r="A27" s="112" t="str">
        <f>名簿!B15&amp;""</f>
        <v>10010005</v>
      </c>
      <c r="B27" s="108" t="str">
        <f>名簿!C15&amp;""</f>
        <v>渡辺</v>
      </c>
      <c r="C27" s="108" t="str">
        <f>名簿!D15&amp;""</f>
        <v>誠</v>
      </c>
      <c r="D27" s="145">
        <v>96</v>
      </c>
      <c r="E27" s="145">
        <v>59</v>
      </c>
      <c r="F27" s="145">
        <v>64</v>
      </c>
      <c r="G27" s="145">
        <v>95</v>
      </c>
      <c r="H27" s="145">
        <v>80</v>
      </c>
      <c r="I27" s="145">
        <v>80</v>
      </c>
      <c r="J27" s="145">
        <v>80</v>
      </c>
      <c r="K27" s="145">
        <v>80</v>
      </c>
      <c r="L27" s="145">
        <v>98</v>
      </c>
      <c r="M27" s="145">
        <v>75</v>
      </c>
      <c r="N27" s="145">
        <v>86</v>
      </c>
      <c r="O27" s="145">
        <v>93</v>
      </c>
      <c r="P27" s="145" t="s">
        <v>205</v>
      </c>
      <c r="Q27" s="145">
        <v>75</v>
      </c>
      <c r="R27" s="145" t="s">
        <v>205</v>
      </c>
      <c r="S27" s="145" t="s">
        <v>205</v>
      </c>
      <c r="T27" s="145" t="s">
        <v>205</v>
      </c>
      <c r="U27" s="145" t="s">
        <v>205</v>
      </c>
      <c r="V27" s="145" t="s">
        <v>205</v>
      </c>
      <c r="W27" s="145">
        <v>99</v>
      </c>
      <c r="X27" s="145" t="s">
        <v>205</v>
      </c>
      <c r="Y27" s="145" t="s">
        <v>205</v>
      </c>
      <c r="Z27" s="145" t="s">
        <v>205</v>
      </c>
      <c r="AA27" s="145" t="s">
        <v>205</v>
      </c>
      <c r="AB27" s="145">
        <v>95</v>
      </c>
      <c r="AC27" s="145" t="s">
        <v>205</v>
      </c>
      <c r="AD27" s="145" t="s">
        <v>205</v>
      </c>
      <c r="AE27" s="145" t="s">
        <v>205</v>
      </c>
    </row>
    <row r="28" spans="1:31" x14ac:dyDescent="0.35">
      <c r="A28" s="112" t="str">
        <f>名簿!B16&amp;""</f>
        <v>10010006</v>
      </c>
      <c r="B28" s="108" t="str">
        <f>名簿!C16&amp;""</f>
        <v>伊藤</v>
      </c>
      <c r="C28" s="108" t="str">
        <f>名簿!D16&amp;""</f>
        <v>凛</v>
      </c>
      <c r="D28" s="145">
        <v>95</v>
      </c>
      <c r="E28" s="145">
        <v>60</v>
      </c>
      <c r="F28" s="145">
        <v>65</v>
      </c>
      <c r="G28" s="145">
        <v>94</v>
      </c>
      <c r="H28" s="145">
        <v>80</v>
      </c>
      <c r="I28" s="145">
        <v>80</v>
      </c>
      <c r="J28" s="145">
        <v>80</v>
      </c>
      <c r="K28" s="145">
        <v>80</v>
      </c>
      <c r="L28" s="145">
        <v>88</v>
      </c>
      <c r="M28" s="145">
        <v>85</v>
      </c>
      <c r="N28" s="145">
        <v>118</v>
      </c>
      <c r="O28" s="145">
        <v>106</v>
      </c>
      <c r="P28" s="145" t="s">
        <v>205</v>
      </c>
      <c r="Q28" s="145">
        <v>75</v>
      </c>
      <c r="R28" s="145" t="s">
        <v>205</v>
      </c>
      <c r="S28" s="145" t="s">
        <v>205</v>
      </c>
      <c r="T28" s="145" t="s">
        <v>205</v>
      </c>
      <c r="U28" s="145" t="s">
        <v>205</v>
      </c>
      <c r="V28" s="145" t="s">
        <v>205</v>
      </c>
      <c r="W28" s="145">
        <v>99</v>
      </c>
      <c r="X28" s="145" t="s">
        <v>205</v>
      </c>
      <c r="Y28" s="145" t="s">
        <v>205</v>
      </c>
      <c r="Z28" s="145" t="s">
        <v>205</v>
      </c>
      <c r="AA28" s="145" t="s">
        <v>205</v>
      </c>
      <c r="AB28" s="145">
        <v>94</v>
      </c>
      <c r="AC28" s="145" t="s">
        <v>205</v>
      </c>
      <c r="AD28" s="145" t="s">
        <v>205</v>
      </c>
      <c r="AE28" s="145" t="s">
        <v>205</v>
      </c>
    </row>
    <row r="29" spans="1:31" x14ac:dyDescent="0.35">
      <c r="A29" s="112" t="str">
        <f>名簿!B17&amp;""</f>
        <v>10010007</v>
      </c>
      <c r="B29" s="108" t="str">
        <f>名簿!C17&amp;""</f>
        <v>山本</v>
      </c>
      <c r="C29" s="108" t="str">
        <f>名簿!D17&amp;""</f>
        <v>太郎</v>
      </c>
      <c r="D29" s="145">
        <v>94</v>
      </c>
      <c r="E29" s="145">
        <v>61</v>
      </c>
      <c r="F29" s="145">
        <v>66</v>
      </c>
      <c r="G29" s="145">
        <v>93</v>
      </c>
      <c r="H29" s="145">
        <v>80</v>
      </c>
      <c r="I29" s="145">
        <v>80</v>
      </c>
      <c r="J29" s="145">
        <v>80</v>
      </c>
      <c r="K29" s="145">
        <v>80</v>
      </c>
      <c r="L29" s="145">
        <v>71</v>
      </c>
      <c r="M29" s="145">
        <v>91</v>
      </c>
      <c r="N29" s="145">
        <v>89</v>
      </c>
      <c r="O29" s="145">
        <v>84</v>
      </c>
      <c r="P29" s="145" t="s">
        <v>205</v>
      </c>
      <c r="Q29" s="145">
        <v>75</v>
      </c>
      <c r="R29" s="145" t="s">
        <v>205</v>
      </c>
      <c r="S29" s="145" t="s">
        <v>205</v>
      </c>
      <c r="T29" s="145" t="s">
        <v>205</v>
      </c>
      <c r="U29" s="145" t="s">
        <v>205</v>
      </c>
      <c r="V29" s="145" t="s">
        <v>205</v>
      </c>
      <c r="W29" s="145">
        <v>95</v>
      </c>
      <c r="X29" s="145" t="s">
        <v>205</v>
      </c>
      <c r="Y29" s="145" t="s">
        <v>205</v>
      </c>
      <c r="Z29" s="145" t="s">
        <v>205</v>
      </c>
      <c r="AA29" s="145" t="s">
        <v>205</v>
      </c>
      <c r="AB29" s="145">
        <v>93</v>
      </c>
      <c r="AC29" s="145" t="s">
        <v>205</v>
      </c>
      <c r="AD29" s="145" t="s">
        <v>205</v>
      </c>
      <c r="AE29" s="145" t="s">
        <v>205</v>
      </c>
    </row>
    <row r="30" spans="1:31" x14ac:dyDescent="0.35">
      <c r="A30" s="112" t="str">
        <f>名簿!B18&amp;""</f>
        <v>10010008</v>
      </c>
      <c r="B30" s="108" t="str">
        <f>名簿!C18&amp;""</f>
        <v>中村</v>
      </c>
      <c r="C30" s="108" t="str">
        <f>名簿!D18&amp;""</f>
        <v>真央</v>
      </c>
      <c r="D30" s="145"/>
      <c r="E30" s="145">
        <v>62</v>
      </c>
      <c r="F30" s="145">
        <v>67</v>
      </c>
      <c r="G30" s="145">
        <v>92</v>
      </c>
      <c r="H30" s="145">
        <v>80</v>
      </c>
      <c r="I30" s="145">
        <v>80</v>
      </c>
      <c r="J30" s="145">
        <v>80</v>
      </c>
      <c r="K30" s="145">
        <v>25</v>
      </c>
      <c r="L30" s="145">
        <v>80</v>
      </c>
      <c r="M30" s="145">
        <v>90</v>
      </c>
      <c r="N30" s="145">
        <v>119</v>
      </c>
      <c r="O30" s="145">
        <v>104</v>
      </c>
      <c r="P30" s="145" t="s">
        <v>205</v>
      </c>
      <c r="Q30" s="145">
        <v>75</v>
      </c>
      <c r="R30" s="145" t="s">
        <v>205</v>
      </c>
      <c r="S30" s="145" t="s">
        <v>205</v>
      </c>
      <c r="T30" s="145" t="s">
        <v>205</v>
      </c>
      <c r="U30" s="145" t="s">
        <v>205</v>
      </c>
      <c r="V30" s="145" t="s">
        <v>205</v>
      </c>
      <c r="W30" s="145">
        <v>93</v>
      </c>
      <c r="X30" s="145" t="s">
        <v>205</v>
      </c>
      <c r="Y30" s="145" t="s">
        <v>205</v>
      </c>
      <c r="Z30" s="145" t="s">
        <v>205</v>
      </c>
      <c r="AA30" s="145" t="s">
        <v>205</v>
      </c>
      <c r="AB30" s="145">
        <v>92</v>
      </c>
      <c r="AC30" s="145" t="s">
        <v>205</v>
      </c>
      <c r="AD30" s="145" t="s">
        <v>205</v>
      </c>
      <c r="AE30" s="145" t="s">
        <v>205</v>
      </c>
    </row>
    <row r="31" spans="1:31" x14ac:dyDescent="0.35">
      <c r="A31" s="112" t="str">
        <f>名簿!B19&amp;""</f>
        <v>10010009</v>
      </c>
      <c r="B31" s="108" t="str">
        <f>名簿!C19&amp;""</f>
        <v>小林</v>
      </c>
      <c r="C31" s="108" t="str">
        <f>名簿!D19&amp;""</f>
        <v>浩</v>
      </c>
      <c r="D31" s="145">
        <v>92</v>
      </c>
      <c r="E31" s="145">
        <v>63</v>
      </c>
      <c r="F31" s="145">
        <v>85</v>
      </c>
      <c r="G31" s="145">
        <v>91</v>
      </c>
      <c r="H31" s="145">
        <v>80</v>
      </c>
      <c r="I31" s="145">
        <v>80</v>
      </c>
      <c r="J31" s="145">
        <v>80</v>
      </c>
      <c r="K31" s="145">
        <v>80</v>
      </c>
      <c r="L31" s="145">
        <v>75</v>
      </c>
      <c r="M31" s="145">
        <v>82</v>
      </c>
      <c r="N31" s="145">
        <v>87</v>
      </c>
      <c r="O31" s="145">
        <v>123</v>
      </c>
      <c r="P31" s="145" t="s">
        <v>205</v>
      </c>
      <c r="Q31" s="145">
        <v>75</v>
      </c>
      <c r="R31" s="145" t="s">
        <v>205</v>
      </c>
      <c r="S31" s="145" t="s">
        <v>205</v>
      </c>
      <c r="T31" s="145" t="s">
        <v>205</v>
      </c>
      <c r="U31" s="145" t="s">
        <v>205</v>
      </c>
      <c r="V31" s="145" t="s">
        <v>205</v>
      </c>
      <c r="W31" s="145">
        <v>92</v>
      </c>
      <c r="X31" s="145" t="s">
        <v>205</v>
      </c>
      <c r="Y31" s="145" t="s">
        <v>205</v>
      </c>
      <c r="Z31" s="145" t="s">
        <v>205</v>
      </c>
      <c r="AA31" s="145" t="s">
        <v>205</v>
      </c>
      <c r="AB31" s="145">
        <v>91</v>
      </c>
      <c r="AC31" s="145" t="s">
        <v>205</v>
      </c>
      <c r="AD31" s="145" t="s">
        <v>205</v>
      </c>
      <c r="AE31" s="145" t="s">
        <v>205</v>
      </c>
    </row>
    <row r="32" spans="1:31" x14ac:dyDescent="0.35">
      <c r="A32" s="112" t="str">
        <f>名簿!B20&amp;""</f>
        <v>10010010</v>
      </c>
      <c r="B32" s="108" t="str">
        <f>名簿!C20&amp;""</f>
        <v>加藤</v>
      </c>
      <c r="C32" s="108" t="str">
        <f>名簿!D20&amp;""</f>
        <v>さくら</v>
      </c>
      <c r="D32" s="145">
        <v>91</v>
      </c>
      <c r="E32" s="145">
        <v>64</v>
      </c>
      <c r="F32" s="145">
        <v>69</v>
      </c>
      <c r="G32" s="145">
        <v>90</v>
      </c>
      <c r="H32" s="145">
        <v>80</v>
      </c>
      <c r="I32" s="145">
        <v>80</v>
      </c>
      <c r="J32" s="145">
        <v>80</v>
      </c>
      <c r="K32" s="145">
        <v>80</v>
      </c>
      <c r="L32" s="145">
        <v>96</v>
      </c>
      <c r="M32" s="145">
        <v>99</v>
      </c>
      <c r="N32" s="145">
        <v>126</v>
      </c>
      <c r="O32" s="145">
        <v>82</v>
      </c>
      <c r="P32" s="145" t="s">
        <v>205</v>
      </c>
      <c r="Q32" s="145">
        <v>75</v>
      </c>
      <c r="R32" s="145" t="s">
        <v>205</v>
      </c>
      <c r="S32" s="145" t="s">
        <v>205</v>
      </c>
      <c r="T32" s="145" t="s">
        <v>205</v>
      </c>
      <c r="U32" s="145" t="s">
        <v>205</v>
      </c>
      <c r="V32" s="145" t="s">
        <v>205</v>
      </c>
      <c r="W32" s="145">
        <v>91</v>
      </c>
      <c r="X32" s="145" t="s">
        <v>205</v>
      </c>
      <c r="Y32" s="145" t="s">
        <v>205</v>
      </c>
      <c r="Z32" s="145" t="s">
        <v>205</v>
      </c>
      <c r="AA32" s="145" t="s">
        <v>205</v>
      </c>
      <c r="AB32" s="145">
        <v>90</v>
      </c>
      <c r="AC32" s="145" t="s">
        <v>205</v>
      </c>
      <c r="AD32" s="145" t="s">
        <v>205</v>
      </c>
      <c r="AE32" s="145" t="s">
        <v>205</v>
      </c>
    </row>
    <row r="33" spans="1:31" x14ac:dyDescent="0.35">
      <c r="A33" s="112" t="str">
        <f>名簿!B21&amp;""</f>
        <v>10010011</v>
      </c>
      <c r="B33" s="108" t="str">
        <f>名簿!C21&amp;""</f>
        <v>吉田</v>
      </c>
      <c r="C33" s="108" t="str">
        <f>名簿!D21&amp;""</f>
        <v>亮</v>
      </c>
      <c r="D33" s="145">
        <v>90</v>
      </c>
      <c r="E33" s="145">
        <v>65</v>
      </c>
      <c r="F33" s="145">
        <v>70</v>
      </c>
      <c r="G33" s="145">
        <v>89</v>
      </c>
      <c r="H33" s="145">
        <v>80</v>
      </c>
      <c r="I33" s="145">
        <v>90</v>
      </c>
      <c r="J33" s="145">
        <v>80</v>
      </c>
      <c r="K33" s="145">
        <v>80</v>
      </c>
      <c r="L33" s="145">
        <v>78</v>
      </c>
      <c r="M33" s="145">
        <v>86</v>
      </c>
      <c r="N33" s="145">
        <v>103</v>
      </c>
      <c r="O33" s="145">
        <v>91</v>
      </c>
      <c r="P33" s="145" t="s">
        <v>205</v>
      </c>
      <c r="Q33" s="145">
        <v>75</v>
      </c>
      <c r="R33" s="145" t="s">
        <v>205</v>
      </c>
      <c r="S33" s="145" t="s">
        <v>205</v>
      </c>
      <c r="T33" s="145" t="s">
        <v>205</v>
      </c>
      <c r="U33" s="145" t="s">
        <v>205</v>
      </c>
      <c r="V33" s="145" t="s">
        <v>205</v>
      </c>
      <c r="W33" s="145">
        <v>90</v>
      </c>
      <c r="X33" s="145" t="s">
        <v>205</v>
      </c>
      <c r="Y33" s="145" t="s">
        <v>205</v>
      </c>
      <c r="Z33" s="145" t="s">
        <v>205</v>
      </c>
      <c r="AA33" s="145" t="s">
        <v>205</v>
      </c>
      <c r="AB33" s="145">
        <v>89</v>
      </c>
      <c r="AC33" s="145" t="s">
        <v>205</v>
      </c>
      <c r="AD33" s="145" t="s">
        <v>205</v>
      </c>
      <c r="AE33" s="145" t="s">
        <v>205</v>
      </c>
    </row>
    <row r="34" spans="1:31" x14ac:dyDescent="0.35">
      <c r="A34" s="112" t="str">
        <f>名簿!B22&amp;""</f>
        <v>10010012</v>
      </c>
      <c r="B34" s="108" t="str">
        <f>名簿!C22&amp;""</f>
        <v>山田</v>
      </c>
      <c r="C34" s="108" t="str">
        <f>名簿!D22&amp;""</f>
        <v>愛</v>
      </c>
      <c r="D34" s="145">
        <v>89</v>
      </c>
      <c r="E34" s="145">
        <v>66</v>
      </c>
      <c r="F34" s="145">
        <v>71</v>
      </c>
      <c r="G34" s="145">
        <v>88</v>
      </c>
      <c r="H34" s="145">
        <v>80</v>
      </c>
      <c r="I34" s="145">
        <v>80</v>
      </c>
      <c r="J34" s="145">
        <v>80</v>
      </c>
      <c r="K34" s="145">
        <v>80</v>
      </c>
      <c r="L34" s="145">
        <v>76</v>
      </c>
      <c r="M34" s="145">
        <v>85</v>
      </c>
      <c r="N34" s="145">
        <v>100</v>
      </c>
      <c r="O34" s="145">
        <v>103</v>
      </c>
      <c r="P34" s="145" t="s">
        <v>205</v>
      </c>
      <c r="Q34" s="145">
        <v>75</v>
      </c>
      <c r="R34" s="145" t="s">
        <v>205</v>
      </c>
      <c r="S34" s="145" t="s">
        <v>205</v>
      </c>
      <c r="T34" s="145" t="s">
        <v>205</v>
      </c>
      <c r="U34" s="145" t="s">
        <v>205</v>
      </c>
      <c r="V34" s="145" t="s">
        <v>205</v>
      </c>
      <c r="W34" s="145">
        <v>90</v>
      </c>
      <c r="X34" s="145" t="s">
        <v>205</v>
      </c>
      <c r="Y34" s="145" t="s">
        <v>205</v>
      </c>
      <c r="Z34" s="145" t="s">
        <v>205</v>
      </c>
      <c r="AA34" s="145" t="s">
        <v>205</v>
      </c>
      <c r="AB34" s="145">
        <v>90</v>
      </c>
      <c r="AC34" s="145" t="s">
        <v>205</v>
      </c>
      <c r="AD34" s="145" t="s">
        <v>205</v>
      </c>
      <c r="AE34" s="145" t="s">
        <v>205</v>
      </c>
    </row>
    <row r="35" spans="1:31" x14ac:dyDescent="0.35">
      <c r="A35" s="112" t="str">
        <f>名簿!B23&amp;""</f>
        <v>10010013</v>
      </c>
      <c r="B35" s="108" t="str">
        <f>名簿!C23&amp;""</f>
        <v>佐々木</v>
      </c>
      <c r="C35" s="108" t="str">
        <f>名簿!D23&amp;""</f>
        <v>浩</v>
      </c>
      <c r="D35" s="145">
        <v>88</v>
      </c>
      <c r="E35" s="145">
        <v>67</v>
      </c>
      <c r="F35" s="145">
        <v>72</v>
      </c>
      <c r="G35" s="145">
        <v>87</v>
      </c>
      <c r="H35" s="145">
        <v>80</v>
      </c>
      <c r="I35" s="145">
        <v>80</v>
      </c>
      <c r="J35" s="145">
        <v>80</v>
      </c>
      <c r="K35" s="145">
        <v>80</v>
      </c>
      <c r="L35" s="145">
        <v>74</v>
      </c>
      <c r="M35" s="145">
        <v>89</v>
      </c>
      <c r="N35" s="145">
        <v>96</v>
      </c>
      <c r="O35" s="145">
        <v>107</v>
      </c>
      <c r="P35" s="145" t="s">
        <v>205</v>
      </c>
      <c r="Q35" s="145">
        <v>75</v>
      </c>
      <c r="R35" s="145" t="s">
        <v>205</v>
      </c>
      <c r="S35" s="145" t="s">
        <v>205</v>
      </c>
      <c r="T35" s="145" t="s">
        <v>205</v>
      </c>
      <c r="U35" s="145" t="s">
        <v>205</v>
      </c>
      <c r="V35" s="145" t="s">
        <v>205</v>
      </c>
      <c r="W35" s="145">
        <v>99</v>
      </c>
      <c r="X35" s="145" t="s">
        <v>205</v>
      </c>
      <c r="Y35" s="145" t="s">
        <v>205</v>
      </c>
      <c r="Z35" s="145" t="s">
        <v>205</v>
      </c>
      <c r="AA35" s="145" t="s">
        <v>205</v>
      </c>
      <c r="AB35" s="145">
        <v>90</v>
      </c>
      <c r="AC35" s="145" t="s">
        <v>205</v>
      </c>
      <c r="AD35" s="145" t="s">
        <v>205</v>
      </c>
      <c r="AE35" s="145" t="s">
        <v>205</v>
      </c>
    </row>
    <row r="36" spans="1:31" x14ac:dyDescent="0.35">
      <c r="A36" s="112" t="str">
        <f>名簿!B24&amp;""</f>
        <v>10010014</v>
      </c>
      <c r="B36" s="108" t="str">
        <f>名簿!C24&amp;""</f>
        <v>山口</v>
      </c>
      <c r="C36" s="108" t="str">
        <f>名簿!D24&amp;""</f>
        <v>結衣</v>
      </c>
      <c r="D36" s="145">
        <v>87</v>
      </c>
      <c r="E36" s="145">
        <v>68</v>
      </c>
      <c r="F36" s="145">
        <v>73</v>
      </c>
      <c r="G36" s="145">
        <v>86</v>
      </c>
      <c r="H36" s="145">
        <v>80</v>
      </c>
      <c r="I36" s="145">
        <v>80</v>
      </c>
      <c r="J36" s="145">
        <v>78</v>
      </c>
      <c r="K36" s="145">
        <v>80</v>
      </c>
      <c r="L36" s="145">
        <v>71</v>
      </c>
      <c r="M36" s="145">
        <v>91</v>
      </c>
      <c r="N36" s="145">
        <v>107</v>
      </c>
      <c r="O36" s="145">
        <v>91</v>
      </c>
      <c r="P36" s="145" t="s">
        <v>205</v>
      </c>
      <c r="Q36" s="145">
        <v>75</v>
      </c>
      <c r="R36" s="145" t="s">
        <v>205</v>
      </c>
      <c r="S36" s="145" t="s">
        <v>205</v>
      </c>
      <c r="T36" s="145" t="s">
        <v>205</v>
      </c>
      <c r="U36" s="145" t="s">
        <v>205</v>
      </c>
      <c r="V36" s="145" t="s">
        <v>205</v>
      </c>
      <c r="W36" s="145">
        <v>90</v>
      </c>
      <c r="X36" s="145" t="s">
        <v>205</v>
      </c>
      <c r="Y36" s="145" t="s">
        <v>205</v>
      </c>
      <c r="Z36" s="145" t="s">
        <v>205</v>
      </c>
      <c r="AA36" s="145" t="s">
        <v>205</v>
      </c>
      <c r="AB36" s="145">
        <v>86</v>
      </c>
      <c r="AC36" s="145" t="s">
        <v>205</v>
      </c>
      <c r="AD36" s="145" t="s">
        <v>205</v>
      </c>
      <c r="AE36" s="145" t="s">
        <v>205</v>
      </c>
    </row>
    <row r="37" spans="1:31" x14ac:dyDescent="0.35">
      <c r="A37" s="112" t="str">
        <f>名簿!B25&amp;""</f>
        <v>10010015</v>
      </c>
      <c r="B37" s="108" t="str">
        <f>名簿!C25&amp;""</f>
        <v>松本</v>
      </c>
      <c r="C37" s="108" t="str">
        <f>名簿!D25&amp;""</f>
        <v>浩</v>
      </c>
      <c r="D37" s="145">
        <v>86</v>
      </c>
      <c r="E37" s="145">
        <v>69</v>
      </c>
      <c r="F37" s="145">
        <v>74</v>
      </c>
      <c r="G37" s="145">
        <v>85</v>
      </c>
      <c r="H37" s="145">
        <v>80</v>
      </c>
      <c r="I37" s="145">
        <v>80</v>
      </c>
      <c r="J37" s="145">
        <v>80</v>
      </c>
      <c r="K37" s="145">
        <v>80</v>
      </c>
      <c r="L37" s="145">
        <v>79</v>
      </c>
      <c r="M37" s="145">
        <v>82</v>
      </c>
      <c r="N37" s="145"/>
      <c r="O37" s="145">
        <v>104</v>
      </c>
      <c r="P37" s="145" t="s">
        <v>205</v>
      </c>
      <c r="Q37" s="145">
        <v>75</v>
      </c>
      <c r="R37" s="145" t="s">
        <v>205</v>
      </c>
      <c r="S37" s="145" t="s">
        <v>205</v>
      </c>
      <c r="T37" s="145" t="s">
        <v>205</v>
      </c>
      <c r="U37" s="145" t="s">
        <v>205</v>
      </c>
      <c r="V37" s="145" t="s">
        <v>205</v>
      </c>
      <c r="W37" s="145">
        <v>90</v>
      </c>
      <c r="X37" s="145" t="s">
        <v>205</v>
      </c>
      <c r="Y37" s="145" t="s">
        <v>205</v>
      </c>
      <c r="Z37" s="145" t="s">
        <v>205</v>
      </c>
      <c r="AA37" s="145" t="s">
        <v>205</v>
      </c>
      <c r="AB37" s="145">
        <v>90</v>
      </c>
      <c r="AC37" s="145" t="s">
        <v>205</v>
      </c>
      <c r="AD37" s="145" t="s">
        <v>205</v>
      </c>
      <c r="AE37" s="145" t="s">
        <v>205</v>
      </c>
    </row>
    <row r="38" spans="1:31" x14ac:dyDescent="0.35">
      <c r="A38" s="112" t="str">
        <f>名簿!B26&amp;""</f>
        <v>10010016</v>
      </c>
      <c r="B38" s="108" t="str">
        <f>名簿!C26&amp;""</f>
        <v>井上</v>
      </c>
      <c r="C38" s="108" t="str">
        <f>名簿!D26&amp;""</f>
        <v>結衣</v>
      </c>
      <c r="D38" s="145">
        <v>85</v>
      </c>
      <c r="E38" s="145">
        <v>70</v>
      </c>
      <c r="F38" s="145">
        <v>75</v>
      </c>
      <c r="G38" s="145">
        <v>84</v>
      </c>
      <c r="H38" s="145">
        <v>80</v>
      </c>
      <c r="I38" s="145">
        <v>80</v>
      </c>
      <c r="J38" s="145">
        <v>80</v>
      </c>
      <c r="K38" s="145">
        <v>80</v>
      </c>
      <c r="L38" s="145">
        <v>85</v>
      </c>
      <c r="M38" s="145">
        <v>87</v>
      </c>
      <c r="N38" s="145">
        <v>92</v>
      </c>
      <c r="O38" s="145">
        <v>119</v>
      </c>
      <c r="P38" s="145" t="s">
        <v>205</v>
      </c>
      <c r="Q38" s="145">
        <v>75</v>
      </c>
      <c r="R38" s="145" t="s">
        <v>205</v>
      </c>
      <c r="S38" s="145" t="s">
        <v>205</v>
      </c>
      <c r="T38" s="145" t="s">
        <v>205</v>
      </c>
      <c r="U38" s="145" t="s">
        <v>205</v>
      </c>
      <c r="V38" s="145" t="s">
        <v>205</v>
      </c>
      <c r="W38" s="145">
        <v>90</v>
      </c>
      <c r="X38" s="145" t="s">
        <v>205</v>
      </c>
      <c r="Y38" s="145" t="s">
        <v>205</v>
      </c>
      <c r="Z38" s="145" t="s">
        <v>205</v>
      </c>
      <c r="AA38" s="145" t="s">
        <v>205</v>
      </c>
      <c r="AB38" s="145">
        <v>90</v>
      </c>
      <c r="AC38" s="145" t="s">
        <v>205</v>
      </c>
      <c r="AD38" s="145" t="s">
        <v>205</v>
      </c>
      <c r="AE38" s="145" t="s">
        <v>205</v>
      </c>
    </row>
    <row r="39" spans="1:31" x14ac:dyDescent="0.35">
      <c r="A39" s="112" t="str">
        <f>名簿!B27&amp;""</f>
        <v>10010017</v>
      </c>
      <c r="B39" s="108" t="str">
        <f>名簿!C27&amp;""</f>
        <v>木村</v>
      </c>
      <c r="C39" s="108" t="str">
        <f>名簿!D27&amp;""</f>
        <v>学</v>
      </c>
      <c r="D39" s="145">
        <v>84</v>
      </c>
      <c r="E39" s="145">
        <v>71</v>
      </c>
      <c r="F39" s="145">
        <v>76</v>
      </c>
      <c r="G39" s="145">
        <v>83</v>
      </c>
      <c r="H39" s="145">
        <v>80</v>
      </c>
      <c r="I39" s="145">
        <v>80</v>
      </c>
      <c r="J39" s="145">
        <v>80</v>
      </c>
      <c r="K39" s="145">
        <v>80</v>
      </c>
      <c r="L39" s="145">
        <v>80</v>
      </c>
      <c r="M39" s="145">
        <v>98</v>
      </c>
      <c r="N39" s="145">
        <v>111</v>
      </c>
      <c r="O39" s="145">
        <v>121</v>
      </c>
      <c r="P39" s="145" t="s">
        <v>205</v>
      </c>
      <c r="Q39" s="145">
        <v>75</v>
      </c>
      <c r="R39" s="145" t="s">
        <v>205</v>
      </c>
      <c r="S39" s="145" t="s">
        <v>205</v>
      </c>
      <c r="T39" s="145" t="s">
        <v>205</v>
      </c>
      <c r="U39" s="145" t="s">
        <v>205</v>
      </c>
      <c r="V39" s="145" t="s">
        <v>205</v>
      </c>
      <c r="W39" s="145">
        <v>90</v>
      </c>
      <c r="X39" s="145" t="s">
        <v>205</v>
      </c>
      <c r="Y39" s="145" t="s">
        <v>205</v>
      </c>
      <c r="Z39" s="145" t="s">
        <v>205</v>
      </c>
      <c r="AA39" s="145" t="s">
        <v>205</v>
      </c>
      <c r="AB39" s="145">
        <v>90</v>
      </c>
      <c r="AC39" s="145" t="s">
        <v>205</v>
      </c>
      <c r="AD39" s="145" t="s">
        <v>205</v>
      </c>
      <c r="AE39" s="145" t="s">
        <v>205</v>
      </c>
    </row>
    <row r="40" spans="1:31" x14ac:dyDescent="0.35">
      <c r="A40" s="112" t="str">
        <f>名簿!B28&amp;""</f>
        <v>10010018</v>
      </c>
      <c r="B40" s="108" t="str">
        <f>名簿!C28&amp;""</f>
        <v>林</v>
      </c>
      <c r="C40" s="108" t="str">
        <f>名簿!D28&amp;""</f>
        <v>凛</v>
      </c>
      <c r="D40" s="145">
        <v>83</v>
      </c>
      <c r="E40" s="145">
        <v>72</v>
      </c>
      <c r="F40" s="145">
        <v>77</v>
      </c>
      <c r="G40" s="145">
        <v>82</v>
      </c>
      <c r="H40" s="145">
        <v>80</v>
      </c>
      <c r="I40" s="145">
        <v>80</v>
      </c>
      <c r="J40" s="145">
        <v>80</v>
      </c>
      <c r="K40" s="145">
        <v>80</v>
      </c>
      <c r="L40" s="145">
        <v>95</v>
      </c>
      <c r="M40" s="145">
        <v>75</v>
      </c>
      <c r="N40" s="145">
        <v>114</v>
      </c>
      <c r="O40" s="145">
        <v>129</v>
      </c>
      <c r="P40" s="145" t="s">
        <v>205</v>
      </c>
      <c r="Q40" s="145">
        <v>75</v>
      </c>
      <c r="R40" s="145" t="s">
        <v>205</v>
      </c>
      <c r="S40" s="145" t="s">
        <v>205</v>
      </c>
      <c r="T40" s="145" t="s">
        <v>205</v>
      </c>
      <c r="U40" s="145" t="s">
        <v>205</v>
      </c>
      <c r="V40" s="145" t="s">
        <v>205</v>
      </c>
      <c r="W40" s="145">
        <v>90</v>
      </c>
      <c r="X40" s="145" t="s">
        <v>205</v>
      </c>
      <c r="Y40" s="145" t="s">
        <v>205</v>
      </c>
      <c r="Z40" s="145" t="s">
        <v>205</v>
      </c>
      <c r="AA40" s="145" t="s">
        <v>205</v>
      </c>
      <c r="AB40" s="145">
        <v>90</v>
      </c>
      <c r="AC40" s="145" t="s">
        <v>205</v>
      </c>
      <c r="AD40" s="145" t="s">
        <v>205</v>
      </c>
      <c r="AE40" s="145" t="s">
        <v>205</v>
      </c>
    </row>
    <row r="41" spans="1:31" x14ac:dyDescent="0.35">
      <c r="A41" s="112" t="str">
        <f>名簿!B29&amp;""</f>
        <v>10010019</v>
      </c>
      <c r="B41" s="108" t="str">
        <f>名簿!C29&amp;""</f>
        <v>斎藤</v>
      </c>
      <c r="C41" s="108" t="str">
        <f>名簿!D29&amp;""</f>
        <v>翔太</v>
      </c>
      <c r="D41" s="145">
        <v>82</v>
      </c>
      <c r="E41" s="145">
        <v>73</v>
      </c>
      <c r="F41" s="145">
        <v>78</v>
      </c>
      <c r="G41" s="145">
        <v>81</v>
      </c>
      <c r="H41" s="145">
        <v>80</v>
      </c>
      <c r="I41" s="145">
        <v>80</v>
      </c>
      <c r="J41" s="145">
        <v>80</v>
      </c>
      <c r="K41" s="145">
        <v>80</v>
      </c>
      <c r="L41" s="145">
        <v>81</v>
      </c>
      <c r="M41" s="145">
        <v>95</v>
      </c>
      <c r="N41" s="145">
        <v>89</v>
      </c>
      <c r="O41" s="145">
        <v>101</v>
      </c>
      <c r="P41" s="145" t="s">
        <v>205</v>
      </c>
      <c r="Q41" s="145">
        <v>75</v>
      </c>
      <c r="R41" s="145" t="s">
        <v>205</v>
      </c>
      <c r="S41" s="145" t="s">
        <v>205</v>
      </c>
      <c r="T41" s="145" t="s">
        <v>205</v>
      </c>
      <c r="U41" s="145" t="s">
        <v>205</v>
      </c>
      <c r="V41" s="145" t="s">
        <v>205</v>
      </c>
      <c r="W41" s="145">
        <v>90</v>
      </c>
      <c r="X41" s="145" t="s">
        <v>205</v>
      </c>
      <c r="Y41" s="145" t="s">
        <v>205</v>
      </c>
      <c r="Z41" s="145" t="s">
        <v>205</v>
      </c>
      <c r="AA41" s="145" t="s">
        <v>205</v>
      </c>
      <c r="AB41" s="145">
        <v>81</v>
      </c>
      <c r="AC41" s="145" t="s">
        <v>205</v>
      </c>
      <c r="AD41" s="145" t="s">
        <v>205</v>
      </c>
      <c r="AE41" s="145" t="s">
        <v>205</v>
      </c>
    </row>
    <row r="42" spans="1:31" x14ac:dyDescent="0.35">
      <c r="A42" s="112" t="str">
        <f>名簿!B30&amp;""</f>
        <v>10010020</v>
      </c>
      <c r="B42" s="108" t="str">
        <f>名簿!C30&amp;""</f>
        <v>清水</v>
      </c>
      <c r="C42" s="108" t="str">
        <f>名簿!D30&amp;""</f>
        <v>結衣</v>
      </c>
      <c r="D42" s="145">
        <v>81</v>
      </c>
      <c r="E42" s="145">
        <v>74</v>
      </c>
      <c r="F42" s="145">
        <v>79</v>
      </c>
      <c r="G42" s="145">
        <v>80</v>
      </c>
      <c r="H42" s="145">
        <v>80</v>
      </c>
      <c r="I42" s="145">
        <v>80</v>
      </c>
      <c r="J42" s="145">
        <v>80</v>
      </c>
      <c r="K42" s="145">
        <v>80</v>
      </c>
      <c r="L42" s="145">
        <v>76</v>
      </c>
      <c r="M42" s="145">
        <v>76</v>
      </c>
      <c r="N42" s="145">
        <v>101</v>
      </c>
      <c r="O42" s="145">
        <v>91</v>
      </c>
      <c r="P42" s="145" t="s">
        <v>205</v>
      </c>
      <c r="Q42" s="145">
        <v>75</v>
      </c>
      <c r="R42" s="145" t="s">
        <v>205</v>
      </c>
      <c r="S42" s="145" t="s">
        <v>205</v>
      </c>
      <c r="T42" s="145" t="s">
        <v>205</v>
      </c>
      <c r="U42" s="145" t="s">
        <v>205</v>
      </c>
      <c r="V42" s="145" t="s">
        <v>205</v>
      </c>
      <c r="W42" s="145">
        <v>95</v>
      </c>
      <c r="X42" s="145" t="s">
        <v>205</v>
      </c>
      <c r="Y42" s="145" t="s">
        <v>205</v>
      </c>
      <c r="Z42" s="145" t="s">
        <v>205</v>
      </c>
      <c r="AA42" s="145" t="s">
        <v>205</v>
      </c>
      <c r="AB42" s="145">
        <v>90</v>
      </c>
      <c r="AC42" s="145" t="s">
        <v>205</v>
      </c>
      <c r="AD42" s="145" t="s">
        <v>205</v>
      </c>
      <c r="AE42" s="145" t="s">
        <v>205</v>
      </c>
    </row>
    <row r="43" spans="1:31" x14ac:dyDescent="0.35">
      <c r="A43" s="112" t="str">
        <f>名簿!B31&amp;""</f>
        <v>10010021</v>
      </c>
      <c r="B43" s="108" t="str">
        <f>名簿!C31&amp;""</f>
        <v>山崎</v>
      </c>
      <c r="C43" s="108" t="str">
        <f>名簿!D31&amp;""</f>
        <v>一郎</v>
      </c>
      <c r="D43" s="145">
        <v>80</v>
      </c>
      <c r="E43" s="145">
        <v>75</v>
      </c>
      <c r="F43" s="145">
        <v>80</v>
      </c>
      <c r="G43" s="145"/>
      <c r="H43" s="145">
        <v>80</v>
      </c>
      <c r="I43" s="145">
        <v>80</v>
      </c>
      <c r="J43" s="145">
        <v>80</v>
      </c>
      <c r="K43" s="145">
        <v>80</v>
      </c>
      <c r="L43" s="145">
        <v>92</v>
      </c>
      <c r="M43" s="145">
        <v>80</v>
      </c>
      <c r="N43" s="145">
        <v>95</v>
      </c>
      <c r="O43" s="145">
        <v>87</v>
      </c>
      <c r="P43" s="145" t="s">
        <v>205</v>
      </c>
      <c r="Q43" s="145">
        <v>75</v>
      </c>
      <c r="R43" s="145" t="s">
        <v>205</v>
      </c>
      <c r="S43" s="145" t="s">
        <v>205</v>
      </c>
      <c r="T43" s="145" t="s">
        <v>205</v>
      </c>
      <c r="U43" s="145" t="s">
        <v>205</v>
      </c>
      <c r="V43" s="145" t="s">
        <v>205</v>
      </c>
      <c r="W43" s="145">
        <v>95</v>
      </c>
      <c r="X43" s="145" t="s">
        <v>205</v>
      </c>
      <c r="Y43" s="145" t="s">
        <v>205</v>
      </c>
      <c r="Z43" s="145" t="s">
        <v>205</v>
      </c>
      <c r="AA43" s="145" t="s">
        <v>205</v>
      </c>
      <c r="AB43" s="145">
        <v>90</v>
      </c>
      <c r="AC43" s="145" t="s">
        <v>205</v>
      </c>
      <c r="AD43" s="145" t="s">
        <v>205</v>
      </c>
      <c r="AE43" s="145" t="s">
        <v>205</v>
      </c>
    </row>
    <row r="44" spans="1:31" x14ac:dyDescent="0.35">
      <c r="A44" s="112" t="str">
        <f>名簿!B32&amp;""</f>
        <v>10010022</v>
      </c>
      <c r="B44" s="108" t="str">
        <f>名簿!C32&amp;""</f>
        <v>森</v>
      </c>
      <c r="C44" s="108" t="str">
        <f>名簿!D32&amp;""</f>
        <v>凛</v>
      </c>
      <c r="D44" s="145">
        <v>79</v>
      </c>
      <c r="E44" s="145">
        <v>76</v>
      </c>
      <c r="F44" s="145">
        <v>81</v>
      </c>
      <c r="G44" s="145">
        <v>78</v>
      </c>
      <c r="H44" s="145">
        <v>80</v>
      </c>
      <c r="I44" s="145">
        <v>80</v>
      </c>
      <c r="J44" s="145">
        <v>80</v>
      </c>
      <c r="K44" s="145">
        <v>80</v>
      </c>
      <c r="L44" s="145">
        <v>80</v>
      </c>
      <c r="M44" s="145">
        <v>92</v>
      </c>
      <c r="N44" s="145">
        <v>127</v>
      </c>
      <c r="O44" s="145">
        <v>96</v>
      </c>
      <c r="P44" s="145" t="s">
        <v>205</v>
      </c>
      <c r="Q44" s="145">
        <v>75</v>
      </c>
      <c r="R44" s="145" t="s">
        <v>205</v>
      </c>
      <c r="S44" s="145" t="s">
        <v>205</v>
      </c>
      <c r="T44" s="145" t="s">
        <v>205</v>
      </c>
      <c r="U44" s="145" t="s">
        <v>205</v>
      </c>
      <c r="V44" s="145" t="s">
        <v>205</v>
      </c>
      <c r="W44" s="145">
        <v>95</v>
      </c>
      <c r="X44" s="145" t="s">
        <v>205</v>
      </c>
      <c r="Y44" s="145" t="s">
        <v>205</v>
      </c>
      <c r="Z44" s="145" t="s">
        <v>205</v>
      </c>
      <c r="AA44" s="145" t="s">
        <v>205</v>
      </c>
      <c r="AB44" s="145">
        <v>90</v>
      </c>
      <c r="AC44" s="145" t="s">
        <v>205</v>
      </c>
      <c r="AD44" s="145" t="s">
        <v>205</v>
      </c>
      <c r="AE44" s="145" t="s">
        <v>205</v>
      </c>
    </row>
    <row r="45" spans="1:31" x14ac:dyDescent="0.35">
      <c r="A45" s="112" t="str">
        <f>名簿!B33&amp;""</f>
        <v>10010023</v>
      </c>
      <c r="B45" s="108" t="str">
        <f>名簿!C33&amp;""</f>
        <v>池田</v>
      </c>
      <c r="C45" s="108" t="str">
        <f>名簿!D33&amp;""</f>
        <v>直樹</v>
      </c>
      <c r="D45" s="145">
        <v>78</v>
      </c>
      <c r="E45" s="145">
        <v>77</v>
      </c>
      <c r="F45" s="145">
        <v>82</v>
      </c>
      <c r="G45" s="145">
        <v>77</v>
      </c>
      <c r="H45" s="145">
        <v>80</v>
      </c>
      <c r="I45" s="145">
        <v>80</v>
      </c>
      <c r="J45" s="145">
        <v>80</v>
      </c>
      <c r="K45" s="145">
        <v>80</v>
      </c>
      <c r="L45" s="145">
        <v>76</v>
      </c>
      <c r="M45" s="145">
        <v>81</v>
      </c>
      <c r="N45" s="145">
        <v>100</v>
      </c>
      <c r="O45" s="145">
        <v>104</v>
      </c>
      <c r="P45" s="145" t="s">
        <v>205</v>
      </c>
      <c r="Q45" s="145">
        <v>75</v>
      </c>
      <c r="R45" s="145" t="s">
        <v>205</v>
      </c>
      <c r="S45" s="145" t="s">
        <v>205</v>
      </c>
      <c r="T45" s="145" t="s">
        <v>205</v>
      </c>
      <c r="U45" s="145" t="s">
        <v>205</v>
      </c>
      <c r="V45" s="145" t="s">
        <v>205</v>
      </c>
      <c r="W45" s="145">
        <v>95</v>
      </c>
      <c r="X45" s="145" t="s">
        <v>205</v>
      </c>
      <c r="Y45" s="145" t="s">
        <v>205</v>
      </c>
      <c r="Z45" s="145" t="s">
        <v>205</v>
      </c>
      <c r="AA45" s="145" t="s">
        <v>205</v>
      </c>
      <c r="AB45" s="145">
        <v>90</v>
      </c>
      <c r="AC45" s="145" t="s">
        <v>205</v>
      </c>
      <c r="AD45" s="145" t="s">
        <v>205</v>
      </c>
      <c r="AE45" s="145" t="s">
        <v>205</v>
      </c>
    </row>
    <row r="46" spans="1:31" x14ac:dyDescent="0.35">
      <c r="A46" s="112" t="str">
        <f>名簿!B34&amp;""</f>
        <v>10010024</v>
      </c>
      <c r="B46" s="108" t="str">
        <f>名簿!C34&amp;""</f>
        <v>橋本</v>
      </c>
      <c r="C46" s="108" t="str">
        <f>名簿!D34&amp;""</f>
        <v>愛</v>
      </c>
      <c r="D46" s="145">
        <v>77</v>
      </c>
      <c r="E46" s="145">
        <v>78</v>
      </c>
      <c r="F46" s="145">
        <v>83</v>
      </c>
      <c r="G46" s="145">
        <v>76</v>
      </c>
      <c r="H46" s="145">
        <v>80</v>
      </c>
      <c r="I46" s="145">
        <v>80</v>
      </c>
      <c r="J46" s="145">
        <v>80</v>
      </c>
      <c r="K46" s="145">
        <v>80</v>
      </c>
      <c r="L46" s="145">
        <v>83</v>
      </c>
      <c r="M46" s="145">
        <v>93</v>
      </c>
      <c r="N46" s="145">
        <v>108</v>
      </c>
      <c r="O46" s="145">
        <v>124</v>
      </c>
      <c r="P46" s="145" t="s">
        <v>205</v>
      </c>
      <c r="Q46" s="145">
        <v>75</v>
      </c>
      <c r="R46" s="145" t="s">
        <v>205</v>
      </c>
      <c r="S46" s="145" t="s">
        <v>205</v>
      </c>
      <c r="T46" s="145" t="s">
        <v>205</v>
      </c>
      <c r="U46" s="145" t="s">
        <v>205</v>
      </c>
      <c r="V46" s="145" t="s">
        <v>205</v>
      </c>
      <c r="W46" s="145">
        <v>95</v>
      </c>
      <c r="X46" s="145" t="s">
        <v>205</v>
      </c>
      <c r="Y46" s="145" t="s">
        <v>205</v>
      </c>
      <c r="Z46" s="145" t="s">
        <v>205</v>
      </c>
      <c r="AA46" s="145" t="s">
        <v>205</v>
      </c>
      <c r="AB46" s="145">
        <v>90</v>
      </c>
      <c r="AC46" s="145" t="s">
        <v>205</v>
      </c>
      <c r="AD46" s="145" t="s">
        <v>205</v>
      </c>
      <c r="AE46" s="145" t="s">
        <v>205</v>
      </c>
    </row>
    <row r="47" spans="1:31" x14ac:dyDescent="0.35">
      <c r="A47" s="112" t="str">
        <f>名簿!B35&amp;""</f>
        <v>10010025</v>
      </c>
      <c r="B47" s="108" t="str">
        <f>名簿!C35&amp;""</f>
        <v>阿部</v>
      </c>
      <c r="C47" s="108" t="str">
        <f>名簿!D35&amp;""</f>
        <v>健太</v>
      </c>
      <c r="D47" s="145">
        <v>76</v>
      </c>
      <c r="E47" s="145">
        <v>79</v>
      </c>
      <c r="F47" s="145">
        <v>84</v>
      </c>
      <c r="G47" s="145">
        <v>75</v>
      </c>
      <c r="H47" s="145">
        <v>80</v>
      </c>
      <c r="I47" s="145">
        <v>80</v>
      </c>
      <c r="J47" s="145">
        <v>80</v>
      </c>
      <c r="K47" s="145">
        <v>80</v>
      </c>
      <c r="L47" s="145"/>
      <c r="M47" s="145">
        <v>91</v>
      </c>
      <c r="N47" s="145">
        <v>115</v>
      </c>
      <c r="O47" s="145">
        <v>102</v>
      </c>
      <c r="P47" s="145" t="s">
        <v>205</v>
      </c>
      <c r="Q47" s="145">
        <v>75</v>
      </c>
      <c r="R47" s="145" t="s">
        <v>205</v>
      </c>
      <c r="S47" s="145" t="s">
        <v>205</v>
      </c>
      <c r="T47" s="145" t="s">
        <v>205</v>
      </c>
      <c r="U47" s="145" t="s">
        <v>205</v>
      </c>
      <c r="V47" s="145" t="s">
        <v>205</v>
      </c>
      <c r="W47" s="145">
        <v>94</v>
      </c>
      <c r="X47" s="145" t="s">
        <v>205</v>
      </c>
      <c r="Y47" s="145" t="s">
        <v>205</v>
      </c>
      <c r="Z47" s="145" t="s">
        <v>205</v>
      </c>
      <c r="AA47" s="145" t="s">
        <v>205</v>
      </c>
      <c r="AB47" s="145">
        <v>75</v>
      </c>
      <c r="AC47" s="145" t="s">
        <v>205</v>
      </c>
      <c r="AD47" s="145" t="s">
        <v>205</v>
      </c>
      <c r="AE47" s="145" t="s">
        <v>205</v>
      </c>
    </row>
    <row r="48" spans="1:31" x14ac:dyDescent="0.35">
      <c r="A48" s="112" t="str">
        <f>名簿!B36&amp;""</f>
        <v>10010026</v>
      </c>
      <c r="B48" s="108" t="str">
        <f>名簿!C36&amp;""</f>
        <v>石川</v>
      </c>
      <c r="C48" s="108" t="str">
        <f>名簿!D36&amp;""</f>
        <v>陽菜</v>
      </c>
      <c r="D48" s="145">
        <v>75</v>
      </c>
      <c r="E48" s="145">
        <v>80</v>
      </c>
      <c r="F48" s="145">
        <v>88</v>
      </c>
      <c r="G48" s="145">
        <v>74</v>
      </c>
      <c r="H48" s="145">
        <v>80</v>
      </c>
      <c r="I48" s="145">
        <v>80</v>
      </c>
      <c r="J48" s="145">
        <v>80</v>
      </c>
      <c r="K48" s="145">
        <v>80</v>
      </c>
      <c r="L48" s="145">
        <v>75</v>
      </c>
      <c r="M48" s="145">
        <v>87</v>
      </c>
      <c r="N48" s="145">
        <v>103</v>
      </c>
      <c r="O48" s="145">
        <v>84</v>
      </c>
      <c r="P48" s="145" t="s">
        <v>205</v>
      </c>
      <c r="Q48" s="145">
        <v>75</v>
      </c>
      <c r="R48" s="145" t="s">
        <v>205</v>
      </c>
      <c r="S48" s="145" t="s">
        <v>205</v>
      </c>
      <c r="T48" s="145" t="s">
        <v>205</v>
      </c>
      <c r="U48" s="145" t="s">
        <v>205</v>
      </c>
      <c r="V48" s="145" t="s">
        <v>205</v>
      </c>
      <c r="W48" s="145">
        <v>90</v>
      </c>
      <c r="X48" s="145" t="s">
        <v>205</v>
      </c>
      <c r="Y48" s="145" t="s">
        <v>205</v>
      </c>
      <c r="Z48" s="145" t="s">
        <v>205</v>
      </c>
      <c r="AA48" s="145" t="s">
        <v>205</v>
      </c>
      <c r="AB48" s="145">
        <v>90</v>
      </c>
      <c r="AC48" s="145" t="s">
        <v>205</v>
      </c>
      <c r="AD48" s="145" t="s">
        <v>205</v>
      </c>
      <c r="AE48" s="145" t="s">
        <v>205</v>
      </c>
    </row>
    <row r="49" spans="1:31" x14ac:dyDescent="0.35">
      <c r="A49" s="112" t="str">
        <f>名簿!B37&amp;""</f>
        <v>10010027</v>
      </c>
      <c r="B49" s="108" t="str">
        <f>名簿!C37&amp;""</f>
        <v>山下</v>
      </c>
      <c r="C49" s="108" t="str">
        <f>名簿!D37&amp;""</f>
        <v>学</v>
      </c>
      <c r="D49" s="145">
        <v>74</v>
      </c>
      <c r="E49" s="145">
        <v>81</v>
      </c>
      <c r="F49" s="145">
        <v>86</v>
      </c>
      <c r="G49" s="145">
        <v>73</v>
      </c>
      <c r="H49" s="145">
        <v>80</v>
      </c>
      <c r="I49" s="145">
        <v>80</v>
      </c>
      <c r="J49" s="145">
        <v>80</v>
      </c>
      <c r="K49" s="145">
        <v>80</v>
      </c>
      <c r="L49" s="145">
        <v>97</v>
      </c>
      <c r="M49" s="145">
        <v>86</v>
      </c>
      <c r="N49" s="145">
        <v>101</v>
      </c>
      <c r="O49" s="145">
        <v>120</v>
      </c>
      <c r="P49" s="145" t="s">
        <v>205</v>
      </c>
      <c r="Q49" s="145">
        <v>75</v>
      </c>
      <c r="R49" s="145" t="s">
        <v>205</v>
      </c>
      <c r="S49" s="145" t="s">
        <v>205</v>
      </c>
      <c r="T49" s="145" t="s">
        <v>205</v>
      </c>
      <c r="U49" s="145" t="s">
        <v>205</v>
      </c>
      <c r="V49" s="145" t="s">
        <v>205</v>
      </c>
      <c r="W49" s="145">
        <v>94</v>
      </c>
      <c r="X49" s="145" t="s">
        <v>205</v>
      </c>
      <c r="Y49" s="145" t="s">
        <v>205</v>
      </c>
      <c r="Z49" s="145" t="s">
        <v>205</v>
      </c>
      <c r="AA49" s="145" t="s">
        <v>205</v>
      </c>
      <c r="AB49" s="145">
        <v>90</v>
      </c>
      <c r="AC49" s="145" t="s">
        <v>205</v>
      </c>
      <c r="AD49" s="145" t="s">
        <v>205</v>
      </c>
      <c r="AE49" s="145" t="s">
        <v>205</v>
      </c>
    </row>
    <row r="50" spans="1:31" x14ac:dyDescent="0.35">
      <c r="A50" s="112" t="str">
        <f>名簿!B38&amp;""</f>
        <v>10010028</v>
      </c>
      <c r="B50" s="108" t="str">
        <f>名簿!C38&amp;""</f>
        <v>中島</v>
      </c>
      <c r="C50" s="108" t="str">
        <f>名簿!D38&amp;""</f>
        <v>凛</v>
      </c>
      <c r="D50" s="145">
        <v>73</v>
      </c>
      <c r="E50" s="145">
        <v>82</v>
      </c>
      <c r="F50" s="145">
        <v>87</v>
      </c>
      <c r="G50" s="145">
        <v>72</v>
      </c>
      <c r="H50" s="145">
        <v>80</v>
      </c>
      <c r="I50" s="145">
        <v>80</v>
      </c>
      <c r="J50" s="145">
        <v>80</v>
      </c>
      <c r="K50" s="145">
        <v>80</v>
      </c>
      <c r="L50" s="145">
        <v>78</v>
      </c>
      <c r="M50" s="145">
        <v>86</v>
      </c>
      <c r="N50" s="145">
        <v>87</v>
      </c>
      <c r="O50" s="145">
        <v>112</v>
      </c>
      <c r="P50" s="145" t="s">
        <v>205</v>
      </c>
      <c r="Q50" s="145">
        <v>75</v>
      </c>
      <c r="R50" s="145" t="s">
        <v>205</v>
      </c>
      <c r="S50" s="145" t="s">
        <v>205</v>
      </c>
      <c r="T50" s="145" t="s">
        <v>205</v>
      </c>
      <c r="U50" s="145" t="s">
        <v>205</v>
      </c>
      <c r="V50" s="145" t="s">
        <v>205</v>
      </c>
      <c r="W50" s="145">
        <v>94</v>
      </c>
      <c r="X50" s="145" t="s">
        <v>205</v>
      </c>
      <c r="Y50" s="145" t="s">
        <v>205</v>
      </c>
      <c r="Z50" s="145" t="s">
        <v>205</v>
      </c>
      <c r="AA50" s="145" t="s">
        <v>205</v>
      </c>
      <c r="AB50" s="145">
        <v>72</v>
      </c>
      <c r="AC50" s="145" t="s">
        <v>205</v>
      </c>
      <c r="AD50" s="145" t="s">
        <v>205</v>
      </c>
      <c r="AE50" s="145" t="s">
        <v>205</v>
      </c>
    </row>
    <row r="51" spans="1:31" x14ac:dyDescent="0.35">
      <c r="A51" s="112" t="str">
        <f>名簿!B39&amp;""</f>
        <v>10010029</v>
      </c>
      <c r="B51" s="108" t="str">
        <f>名簿!C39&amp;""</f>
        <v>石井</v>
      </c>
      <c r="C51" s="108" t="str">
        <f>名簿!D39&amp;""</f>
        <v>健太</v>
      </c>
      <c r="D51" s="145">
        <v>72</v>
      </c>
      <c r="E51" s="145">
        <v>83</v>
      </c>
      <c r="F51" s="145">
        <v>88</v>
      </c>
      <c r="G51" s="145">
        <v>71</v>
      </c>
      <c r="H51" s="145">
        <v>80</v>
      </c>
      <c r="I51" s="145">
        <v>80</v>
      </c>
      <c r="J51" s="145">
        <v>80</v>
      </c>
      <c r="K51" s="145">
        <v>80</v>
      </c>
      <c r="L51" s="145">
        <v>80</v>
      </c>
      <c r="M51" s="145">
        <v>94</v>
      </c>
      <c r="N51" s="145">
        <v>103</v>
      </c>
      <c r="O51" s="145">
        <v>108</v>
      </c>
      <c r="P51" s="145" t="s">
        <v>205</v>
      </c>
      <c r="Q51" s="145">
        <v>75</v>
      </c>
      <c r="R51" s="145" t="s">
        <v>205</v>
      </c>
      <c r="S51" s="145" t="s">
        <v>205</v>
      </c>
      <c r="T51" s="145" t="s">
        <v>205</v>
      </c>
      <c r="U51" s="145" t="s">
        <v>205</v>
      </c>
      <c r="V51" s="145" t="s">
        <v>205</v>
      </c>
      <c r="W51" s="145">
        <v>94</v>
      </c>
      <c r="X51" s="145" t="s">
        <v>205</v>
      </c>
      <c r="Y51" s="145" t="s">
        <v>205</v>
      </c>
      <c r="Z51" s="145" t="s">
        <v>205</v>
      </c>
      <c r="AA51" s="145" t="s">
        <v>205</v>
      </c>
      <c r="AB51" s="145">
        <v>90</v>
      </c>
      <c r="AC51" s="145" t="s">
        <v>205</v>
      </c>
      <c r="AD51" s="145" t="s">
        <v>205</v>
      </c>
      <c r="AE51" s="145" t="s">
        <v>205</v>
      </c>
    </row>
    <row r="52" spans="1:31" x14ac:dyDescent="0.35">
      <c r="A52" s="112" t="str">
        <f>名簿!B40&amp;""</f>
        <v>10010030</v>
      </c>
      <c r="B52" s="108" t="str">
        <f>名簿!C40&amp;""</f>
        <v>小川</v>
      </c>
      <c r="C52" s="108" t="str">
        <f>名簿!D40&amp;""</f>
        <v>楓</v>
      </c>
      <c r="D52" s="145">
        <v>71</v>
      </c>
      <c r="E52" s="145">
        <v>84</v>
      </c>
      <c r="F52" s="145">
        <v>89</v>
      </c>
      <c r="G52" s="145">
        <v>70</v>
      </c>
      <c r="H52" s="145">
        <v>80</v>
      </c>
      <c r="I52" s="145">
        <v>80</v>
      </c>
      <c r="J52" s="145">
        <v>80</v>
      </c>
      <c r="K52" s="145">
        <v>80</v>
      </c>
      <c r="L52" s="145">
        <v>74</v>
      </c>
      <c r="M52" s="145">
        <v>78</v>
      </c>
      <c r="N52" s="145">
        <v>106</v>
      </c>
      <c r="O52" s="145">
        <v>128</v>
      </c>
      <c r="P52" s="145" t="s">
        <v>205</v>
      </c>
      <c r="Q52" s="145">
        <v>75</v>
      </c>
      <c r="R52" s="145" t="s">
        <v>205</v>
      </c>
      <c r="S52" s="145" t="s">
        <v>205</v>
      </c>
      <c r="T52" s="145" t="s">
        <v>205</v>
      </c>
      <c r="U52" s="145" t="s">
        <v>205</v>
      </c>
      <c r="V52" s="145" t="s">
        <v>205</v>
      </c>
      <c r="W52" s="145">
        <v>97</v>
      </c>
      <c r="X52" s="145" t="s">
        <v>205</v>
      </c>
      <c r="Y52" s="145" t="s">
        <v>205</v>
      </c>
      <c r="Z52" s="145" t="s">
        <v>205</v>
      </c>
      <c r="AA52" s="145" t="s">
        <v>205</v>
      </c>
      <c r="AB52" s="145">
        <v>90</v>
      </c>
      <c r="AC52" s="145" t="s">
        <v>205</v>
      </c>
      <c r="AD52" s="145" t="s">
        <v>205</v>
      </c>
      <c r="AE52" s="145" t="s">
        <v>205</v>
      </c>
    </row>
    <row r="53" spans="1:31" x14ac:dyDescent="0.35">
      <c r="A53" s="112" t="str">
        <f>名簿!B41&amp;""</f>
        <v/>
      </c>
      <c r="B53" s="108" t="str">
        <f>名簿!C41&amp;""</f>
        <v/>
      </c>
      <c r="C53" s="108" t="str">
        <f>名簿!D41&amp;""</f>
        <v/>
      </c>
      <c r="D53" s="145"/>
      <c r="E53" s="145"/>
      <c r="F53" s="145"/>
      <c r="G53" s="145"/>
      <c r="H53" s="145"/>
      <c r="I53" s="145"/>
      <c r="J53" s="145"/>
      <c r="K53" s="145"/>
      <c r="L53" s="145"/>
      <c r="M53" s="145"/>
      <c r="N53" s="145"/>
      <c r="O53" s="145"/>
      <c r="P53" s="145"/>
      <c r="Q53" s="145"/>
      <c r="R53" s="145"/>
      <c r="S53" s="145"/>
      <c r="T53" s="145"/>
      <c r="U53" s="145"/>
      <c r="V53" s="145"/>
      <c r="W53" s="145"/>
      <c r="X53" s="145"/>
      <c r="Y53" s="145"/>
      <c r="Z53" s="145"/>
      <c r="AA53" s="145"/>
      <c r="AB53" s="145"/>
      <c r="AC53" s="145"/>
      <c r="AD53" s="145"/>
      <c r="AE53" s="145"/>
    </row>
    <row r="54" spans="1:31" x14ac:dyDescent="0.35">
      <c r="A54" s="112" t="str">
        <f>名簿!B42&amp;""</f>
        <v/>
      </c>
      <c r="B54" s="108" t="str">
        <f>名簿!C42&amp;""</f>
        <v/>
      </c>
      <c r="C54" s="108" t="str">
        <f>名簿!D42&amp;""</f>
        <v/>
      </c>
      <c r="D54" s="145"/>
      <c r="E54" s="145"/>
      <c r="F54" s="145"/>
      <c r="G54" s="145"/>
      <c r="H54" s="145"/>
      <c r="I54" s="145"/>
      <c r="J54" s="145"/>
      <c r="K54" s="145"/>
      <c r="L54" s="145"/>
      <c r="M54" s="145"/>
      <c r="N54" s="145"/>
      <c r="O54" s="145"/>
      <c r="P54" s="145"/>
      <c r="Q54" s="145"/>
      <c r="R54" s="145"/>
      <c r="S54" s="145"/>
      <c r="T54" s="145"/>
      <c r="U54" s="145"/>
      <c r="V54" s="145"/>
      <c r="W54" s="145"/>
      <c r="X54" s="145"/>
      <c r="Y54" s="145"/>
      <c r="Z54" s="145"/>
      <c r="AA54" s="145"/>
      <c r="AB54" s="145"/>
      <c r="AC54" s="145"/>
      <c r="AD54" s="145"/>
      <c r="AE54" s="145"/>
    </row>
    <row r="55" spans="1:31" x14ac:dyDescent="0.35">
      <c r="A55" s="112" t="str">
        <f>名簿!B43&amp;""</f>
        <v/>
      </c>
      <c r="B55" s="108" t="str">
        <f>名簿!C43&amp;""</f>
        <v/>
      </c>
      <c r="C55" s="108" t="str">
        <f>名簿!D43&amp;""</f>
        <v/>
      </c>
      <c r="D55" s="145"/>
      <c r="E55" s="145"/>
      <c r="F55" s="145"/>
      <c r="G55" s="145"/>
      <c r="H55" s="145"/>
      <c r="I55" s="145"/>
      <c r="J55" s="145"/>
      <c r="K55" s="145"/>
      <c r="L55" s="145"/>
      <c r="M55" s="145"/>
      <c r="N55" s="145"/>
      <c r="O55" s="145"/>
      <c r="P55" s="145"/>
      <c r="Q55" s="145"/>
      <c r="R55" s="145"/>
      <c r="S55" s="145"/>
      <c r="T55" s="145"/>
      <c r="U55" s="145"/>
      <c r="V55" s="145"/>
      <c r="W55" s="145"/>
      <c r="X55" s="145"/>
      <c r="Y55" s="145"/>
      <c r="Z55" s="145"/>
      <c r="AA55" s="145"/>
      <c r="AB55" s="145"/>
      <c r="AC55" s="145"/>
      <c r="AD55" s="145"/>
      <c r="AE55" s="145"/>
    </row>
    <row r="56" spans="1:31" x14ac:dyDescent="0.35">
      <c r="A56" s="112" t="str">
        <f>名簿!B44&amp;""</f>
        <v/>
      </c>
      <c r="B56" s="108" t="str">
        <f>名簿!C44&amp;""</f>
        <v/>
      </c>
      <c r="C56" s="108" t="str">
        <f>名簿!D44&amp;""</f>
        <v/>
      </c>
      <c r="D56" s="145"/>
      <c r="E56" s="145"/>
      <c r="F56" s="145"/>
      <c r="G56" s="145"/>
      <c r="H56" s="145"/>
      <c r="I56" s="145"/>
      <c r="J56" s="145"/>
      <c r="K56" s="145"/>
      <c r="L56" s="145"/>
      <c r="M56" s="145"/>
      <c r="N56" s="145"/>
      <c r="O56" s="145"/>
      <c r="P56" s="145"/>
      <c r="Q56" s="145"/>
      <c r="R56" s="145"/>
      <c r="S56" s="145"/>
      <c r="T56" s="145"/>
      <c r="U56" s="145"/>
      <c r="V56" s="145"/>
      <c r="W56" s="145"/>
      <c r="X56" s="145"/>
      <c r="Y56" s="145"/>
      <c r="Z56" s="145"/>
      <c r="AA56" s="145"/>
      <c r="AB56" s="145"/>
      <c r="AC56" s="145"/>
      <c r="AD56" s="145"/>
      <c r="AE56" s="145"/>
    </row>
    <row r="57" spans="1:31" x14ac:dyDescent="0.35">
      <c r="A57" s="112" t="str">
        <f>名簿!B45&amp;""</f>
        <v/>
      </c>
      <c r="B57" s="108" t="str">
        <f>名簿!C45&amp;""</f>
        <v/>
      </c>
      <c r="C57" s="108" t="str">
        <f>名簿!D45&amp;""</f>
        <v/>
      </c>
      <c r="D57" s="145"/>
      <c r="E57" s="145"/>
      <c r="F57" s="145"/>
      <c r="G57" s="145"/>
      <c r="H57" s="145"/>
      <c r="I57" s="145"/>
      <c r="J57" s="145"/>
      <c r="K57" s="145"/>
      <c r="L57" s="145"/>
      <c r="M57" s="145"/>
      <c r="N57" s="145"/>
      <c r="O57" s="145"/>
      <c r="P57" s="145"/>
      <c r="Q57" s="145"/>
      <c r="R57" s="145"/>
      <c r="S57" s="145"/>
      <c r="T57" s="145"/>
      <c r="U57" s="145"/>
      <c r="V57" s="145"/>
      <c r="W57" s="145"/>
      <c r="X57" s="145"/>
      <c r="Y57" s="145"/>
      <c r="Z57" s="145"/>
      <c r="AA57" s="145"/>
      <c r="AB57" s="145"/>
      <c r="AC57" s="145"/>
      <c r="AD57" s="145"/>
      <c r="AE57" s="145"/>
    </row>
    <row r="58" spans="1:31" x14ac:dyDescent="0.35">
      <c r="A58" s="112" t="str">
        <f>名簿!B46&amp;""</f>
        <v/>
      </c>
      <c r="B58" s="108" t="str">
        <f>名簿!C46&amp;""</f>
        <v/>
      </c>
      <c r="C58" s="108" t="str">
        <f>名簿!D46&amp;""</f>
        <v/>
      </c>
      <c r="D58" s="145"/>
      <c r="E58" s="145"/>
      <c r="F58" s="145"/>
      <c r="G58" s="145"/>
      <c r="H58" s="145"/>
      <c r="I58" s="145"/>
      <c r="J58" s="145"/>
      <c r="K58" s="145"/>
      <c r="L58" s="145"/>
      <c r="M58" s="145"/>
      <c r="N58" s="145"/>
      <c r="O58" s="145"/>
      <c r="P58" s="145"/>
      <c r="Q58" s="145"/>
      <c r="R58" s="145"/>
      <c r="S58" s="145"/>
      <c r="T58" s="145"/>
      <c r="U58" s="145"/>
      <c r="V58" s="145"/>
      <c r="W58" s="145"/>
      <c r="X58" s="145"/>
      <c r="Y58" s="145"/>
      <c r="Z58" s="145"/>
      <c r="AA58" s="145"/>
      <c r="AB58" s="145"/>
      <c r="AC58" s="145"/>
      <c r="AD58" s="145"/>
      <c r="AE58" s="145"/>
    </row>
    <row r="59" spans="1:31" x14ac:dyDescent="0.35">
      <c r="A59" s="112" t="str">
        <f>名簿!B47&amp;""</f>
        <v/>
      </c>
      <c r="B59" s="108" t="str">
        <f>名簿!C47&amp;""</f>
        <v/>
      </c>
      <c r="C59" s="108" t="str">
        <f>名簿!D47&amp;""</f>
        <v/>
      </c>
      <c r="D59" s="145"/>
      <c r="E59" s="145"/>
      <c r="F59" s="145"/>
      <c r="G59" s="145"/>
      <c r="H59" s="145"/>
      <c r="I59" s="145"/>
      <c r="J59" s="145"/>
      <c r="K59" s="145"/>
      <c r="L59" s="145"/>
      <c r="M59" s="145"/>
      <c r="N59" s="145"/>
      <c r="O59" s="145"/>
      <c r="P59" s="145"/>
      <c r="Q59" s="145"/>
      <c r="R59" s="145"/>
      <c r="S59" s="145"/>
      <c r="T59" s="145"/>
      <c r="U59" s="145"/>
      <c r="V59" s="145"/>
      <c r="W59" s="145"/>
      <c r="X59" s="145"/>
      <c r="Y59" s="145"/>
      <c r="Z59" s="145"/>
      <c r="AA59" s="145"/>
      <c r="AB59" s="145"/>
      <c r="AC59" s="145"/>
      <c r="AD59" s="145"/>
      <c r="AE59" s="145"/>
    </row>
    <row r="60" spans="1:31" x14ac:dyDescent="0.35">
      <c r="A60" s="112" t="str">
        <f>名簿!B48&amp;""</f>
        <v/>
      </c>
      <c r="B60" s="108" t="str">
        <f>名簿!C48&amp;""</f>
        <v/>
      </c>
      <c r="C60" s="108" t="str">
        <f>名簿!D48&amp;""</f>
        <v/>
      </c>
      <c r="D60" s="145"/>
      <c r="E60" s="145"/>
      <c r="F60" s="145"/>
      <c r="G60" s="145"/>
      <c r="H60" s="145"/>
      <c r="I60" s="145"/>
      <c r="J60" s="145"/>
      <c r="K60" s="145"/>
      <c r="L60" s="145"/>
      <c r="M60" s="145"/>
      <c r="N60" s="145"/>
      <c r="O60" s="145"/>
      <c r="P60" s="145"/>
      <c r="Q60" s="145"/>
      <c r="R60" s="145"/>
      <c r="S60" s="145"/>
      <c r="T60" s="145"/>
      <c r="U60" s="145"/>
      <c r="V60" s="145"/>
      <c r="W60" s="145"/>
      <c r="X60" s="145"/>
      <c r="Y60" s="145"/>
      <c r="Z60" s="145"/>
      <c r="AA60" s="145"/>
      <c r="AB60" s="145"/>
      <c r="AC60" s="145"/>
      <c r="AD60" s="145"/>
      <c r="AE60" s="145"/>
    </row>
    <row r="61" spans="1:31" x14ac:dyDescent="0.35">
      <c r="A61" s="112" t="str">
        <f>名簿!B49&amp;""</f>
        <v/>
      </c>
      <c r="B61" s="108" t="str">
        <f>名簿!C49&amp;""</f>
        <v/>
      </c>
      <c r="C61" s="108" t="str">
        <f>名簿!D49&amp;""</f>
        <v/>
      </c>
      <c r="D61" s="145"/>
      <c r="E61" s="145"/>
      <c r="F61" s="145"/>
      <c r="G61" s="145"/>
      <c r="H61" s="145"/>
      <c r="I61" s="145"/>
      <c r="J61" s="145"/>
      <c r="K61" s="145"/>
      <c r="L61" s="145"/>
      <c r="M61" s="145"/>
      <c r="N61" s="145"/>
      <c r="O61" s="145"/>
      <c r="P61" s="145"/>
      <c r="Q61" s="145"/>
      <c r="R61" s="145"/>
      <c r="S61" s="145"/>
      <c r="T61" s="145"/>
      <c r="U61" s="145"/>
      <c r="V61" s="145"/>
      <c r="W61" s="145"/>
      <c r="X61" s="145"/>
      <c r="Y61" s="145"/>
      <c r="Z61" s="145"/>
      <c r="AA61" s="145"/>
      <c r="AB61" s="145"/>
      <c r="AC61" s="145"/>
      <c r="AD61" s="145"/>
      <c r="AE61" s="145"/>
    </row>
    <row r="62" spans="1:31" x14ac:dyDescent="0.35">
      <c r="A62" s="112" t="str">
        <f>名簿!B50&amp;""</f>
        <v/>
      </c>
      <c r="B62" s="108" t="str">
        <f>名簿!C50&amp;""</f>
        <v/>
      </c>
      <c r="C62" s="108" t="str">
        <f>名簿!D50&amp;""</f>
        <v/>
      </c>
      <c r="D62" s="145"/>
      <c r="E62" s="145"/>
      <c r="F62" s="145"/>
      <c r="G62" s="145"/>
      <c r="H62" s="145"/>
      <c r="I62" s="145"/>
      <c r="J62" s="145"/>
      <c r="K62" s="145"/>
      <c r="L62" s="145"/>
      <c r="M62" s="145"/>
      <c r="N62" s="145"/>
      <c r="O62" s="145"/>
      <c r="P62" s="145"/>
      <c r="Q62" s="145"/>
      <c r="R62" s="145"/>
      <c r="S62" s="145"/>
      <c r="T62" s="145"/>
      <c r="U62" s="145"/>
      <c r="V62" s="145"/>
      <c r="W62" s="145"/>
      <c r="X62" s="145"/>
      <c r="Y62" s="145"/>
      <c r="Z62" s="145"/>
      <c r="AA62" s="145"/>
      <c r="AB62" s="145"/>
      <c r="AC62" s="145"/>
      <c r="AD62" s="145"/>
      <c r="AE62" s="145"/>
    </row>
  </sheetData>
  <sheetProtection sheet="1" formatCells="0" formatColumns="0" formatRows="0"/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controls>
    <mc:AlternateContent xmlns:mc="http://schemas.openxmlformats.org/markup-compatibility/2006">
      <mc:Choice Requires="x14">
        <control shapeId="19457" r:id="rId4" name="CommandButton1">
          <controlPr defaultSize="0" autoLine="0" r:id="rId5">
            <anchor moveWithCells="1">
              <from>
                <xdr:col>5</xdr:col>
                <xdr:colOff>19050</xdr:colOff>
                <xdr:row>0</xdr:row>
                <xdr:rowOff>57150</xdr:rowOff>
              </from>
              <to>
                <xdr:col>8</xdr:col>
                <xdr:colOff>276225</xdr:colOff>
                <xdr:row>2</xdr:row>
                <xdr:rowOff>142875</xdr:rowOff>
              </to>
            </anchor>
          </controlPr>
        </control>
      </mc:Choice>
      <mc:Fallback>
        <control shapeId="1945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CA1F36-814E-4473-AFFD-7606CE5B47AD}">
  <sheetPr codeName="sh_subject">
    <tabColor rgb="FF548235"/>
  </sheetPr>
  <dimension ref="A1:ADI62"/>
  <sheetViews>
    <sheetView zoomScaleNormal="100" zoomScaleSheetLayoutView="99" workbookViewId="0">
      <selection activeCell="J2" sqref="J2"/>
    </sheetView>
  </sheetViews>
  <sheetFormatPr defaultRowHeight="16.5" x14ac:dyDescent="0.4"/>
  <cols>
    <col min="1" max="1" width="11.75" style="100" customWidth="1"/>
    <col min="2" max="2" width="10.375" style="100" customWidth="1"/>
    <col min="3" max="3" width="9.25" style="100" customWidth="1"/>
    <col min="4" max="4" width="5.25" style="100" customWidth="1"/>
    <col min="5" max="974" width="4.875" style="100" customWidth="1"/>
    <col min="975" max="16384" width="9" style="100"/>
  </cols>
  <sheetData>
    <row r="1" spans="1:789" ht="24" x14ac:dyDescent="0.4">
      <c r="A1" s="125" t="s">
        <v>34</v>
      </c>
      <c r="B1" s="101"/>
    </row>
    <row r="2" spans="1:789" ht="19.5" x14ac:dyDescent="0.4">
      <c r="A2" s="100" t="s">
        <v>0</v>
      </c>
      <c r="B2" s="126" t="s">
        <v>6</v>
      </c>
    </row>
    <row r="3" spans="1:789" s="120" customFormat="1" ht="24" customHeight="1" x14ac:dyDescent="0.4">
      <c r="A3" s="100" t="s">
        <v>2</v>
      </c>
      <c r="B3" s="100"/>
    </row>
    <row r="4" spans="1:789" s="121" customFormat="1" x14ac:dyDescent="0.4">
      <c r="A4" s="129" t="s">
        <v>106</v>
      </c>
      <c r="B4" s="129" t="s">
        <v>179</v>
      </c>
      <c r="C4" s="130" t="s">
        <v>38</v>
      </c>
      <c r="D4" s="121" t="s">
        <v>159</v>
      </c>
      <c r="E4" s="121" t="s">
        <v>169</v>
      </c>
      <c r="F4" s="121" t="s">
        <v>172</v>
      </c>
      <c r="G4" s="121" t="s">
        <v>33</v>
      </c>
      <c r="H4" s="121" t="s">
        <v>178</v>
      </c>
    </row>
    <row r="5" spans="1:789" s="122" customFormat="1" x14ac:dyDescent="0.4">
      <c r="A5" s="129"/>
      <c r="B5" s="129" t="s">
        <v>236</v>
      </c>
      <c r="C5" s="130" t="s">
        <v>4</v>
      </c>
      <c r="D5" s="122">
        <v>46055</v>
      </c>
      <c r="E5" s="122">
        <v>46055</v>
      </c>
      <c r="F5" s="122">
        <v>46055</v>
      </c>
      <c r="G5" s="122">
        <v>46055</v>
      </c>
      <c r="H5" s="122">
        <v>46055</v>
      </c>
    </row>
    <row r="6" spans="1:789" s="123" customFormat="1" x14ac:dyDescent="0.4">
      <c r="A6" s="129"/>
      <c r="B6" s="129"/>
      <c r="C6" s="130"/>
      <c r="D6" s="123" t="s">
        <v>29</v>
      </c>
      <c r="E6" s="123" t="s">
        <v>29</v>
      </c>
      <c r="F6" s="123" t="s">
        <v>29</v>
      </c>
      <c r="G6" s="123" t="s">
        <v>29</v>
      </c>
      <c r="H6" s="123" t="s">
        <v>29</v>
      </c>
    </row>
    <row r="7" spans="1:789" s="123" customFormat="1" ht="18.75" customHeight="1" x14ac:dyDescent="0.4">
      <c r="A7" s="131" t="s">
        <v>250</v>
      </c>
      <c r="B7" s="129"/>
      <c r="C7" s="130" t="s">
        <v>99</v>
      </c>
      <c r="D7" s="121" t="s">
        <v>157</v>
      </c>
      <c r="E7" s="121" t="s">
        <v>157</v>
      </c>
      <c r="F7" s="121" t="s">
        <v>157</v>
      </c>
      <c r="G7" s="121" t="s">
        <v>157</v>
      </c>
      <c r="H7" s="121" t="s">
        <v>157</v>
      </c>
      <c r="I7" s="121"/>
      <c r="J7" s="121"/>
      <c r="K7" s="121"/>
      <c r="L7" s="121"/>
      <c r="M7" s="121"/>
      <c r="N7" s="121"/>
      <c r="O7" s="121"/>
      <c r="P7" s="121"/>
      <c r="Q7" s="121"/>
      <c r="R7" s="121"/>
      <c r="S7" s="121"/>
      <c r="T7" s="121"/>
      <c r="U7" s="121"/>
      <c r="V7" s="121"/>
      <c r="W7" s="121"/>
      <c r="X7" s="121"/>
      <c r="Y7" s="121"/>
      <c r="Z7" s="121"/>
      <c r="AA7" s="121"/>
      <c r="AB7" s="121"/>
      <c r="AC7" s="121"/>
      <c r="AD7" s="121"/>
      <c r="AE7" s="121"/>
      <c r="AF7" s="121"/>
      <c r="AG7" s="121"/>
      <c r="AH7" s="121"/>
      <c r="AI7" s="121"/>
      <c r="AJ7" s="121"/>
      <c r="AK7" s="121"/>
      <c r="AL7" s="121"/>
      <c r="AM7" s="121"/>
      <c r="AN7" s="121"/>
      <c r="AO7" s="121"/>
      <c r="AP7" s="121"/>
      <c r="AQ7" s="121"/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1"/>
      <c r="BI7" s="121"/>
      <c r="BJ7" s="121"/>
      <c r="BK7" s="121"/>
      <c r="BL7" s="121"/>
      <c r="BM7" s="121"/>
      <c r="BN7" s="121"/>
      <c r="BO7" s="121"/>
      <c r="BP7" s="121"/>
      <c r="BQ7" s="121"/>
      <c r="BR7" s="121"/>
      <c r="BS7" s="121"/>
      <c r="BT7" s="121"/>
      <c r="BU7" s="121"/>
      <c r="BV7" s="121"/>
      <c r="BW7" s="121"/>
      <c r="BX7" s="121"/>
      <c r="BY7" s="121"/>
      <c r="BZ7" s="121"/>
      <c r="CA7" s="121"/>
      <c r="CB7" s="121"/>
      <c r="CC7" s="121"/>
      <c r="CD7" s="121"/>
      <c r="CE7" s="121"/>
      <c r="CF7" s="121"/>
      <c r="CG7" s="121"/>
      <c r="CH7" s="121"/>
      <c r="CI7" s="121"/>
      <c r="CJ7" s="121"/>
      <c r="CK7" s="121"/>
      <c r="CL7" s="121"/>
      <c r="CM7" s="121"/>
      <c r="CN7" s="121"/>
      <c r="CO7" s="121"/>
      <c r="CP7" s="121"/>
      <c r="CQ7" s="121"/>
      <c r="CR7" s="121"/>
      <c r="CS7" s="121"/>
      <c r="CT7" s="121"/>
      <c r="CU7" s="121"/>
      <c r="CV7" s="121"/>
      <c r="CW7" s="121"/>
      <c r="CX7" s="121"/>
      <c r="CY7" s="121"/>
      <c r="CZ7" s="121"/>
      <c r="DA7" s="121"/>
      <c r="DB7" s="121"/>
      <c r="DC7" s="121"/>
      <c r="DD7" s="121"/>
      <c r="DE7" s="121"/>
      <c r="DF7" s="121"/>
      <c r="DG7" s="121"/>
      <c r="DH7" s="121"/>
      <c r="DI7" s="121"/>
      <c r="DJ7" s="121"/>
      <c r="DK7" s="121"/>
      <c r="DL7" s="121"/>
      <c r="DM7" s="121"/>
      <c r="DN7" s="121"/>
      <c r="DO7" s="121"/>
      <c r="DP7" s="121"/>
      <c r="DQ7" s="121"/>
      <c r="DR7" s="121"/>
      <c r="DS7" s="121"/>
      <c r="DT7" s="121"/>
      <c r="DU7" s="121"/>
      <c r="DV7" s="121"/>
      <c r="DW7" s="121"/>
      <c r="DX7" s="121"/>
      <c r="DY7" s="121"/>
      <c r="DZ7" s="121"/>
      <c r="EA7" s="121"/>
      <c r="EB7" s="121"/>
      <c r="EC7" s="121"/>
      <c r="ED7" s="121"/>
      <c r="EE7" s="121"/>
      <c r="EF7" s="121"/>
      <c r="EG7" s="121"/>
      <c r="EH7" s="121"/>
      <c r="EI7" s="121"/>
      <c r="EJ7" s="121"/>
      <c r="EK7" s="121"/>
      <c r="EL7" s="121"/>
      <c r="EM7" s="121"/>
      <c r="EN7" s="121"/>
      <c r="EO7" s="121"/>
      <c r="EP7" s="121"/>
      <c r="EQ7" s="121"/>
      <c r="ER7" s="121"/>
      <c r="ES7" s="121"/>
      <c r="ET7" s="121"/>
      <c r="EU7" s="121"/>
      <c r="EV7" s="121"/>
      <c r="EW7" s="121"/>
      <c r="EX7" s="121"/>
      <c r="EY7" s="121"/>
      <c r="EZ7" s="121"/>
      <c r="FA7" s="121"/>
      <c r="FB7" s="121"/>
      <c r="FC7" s="121"/>
      <c r="FD7" s="121"/>
      <c r="FE7" s="121"/>
      <c r="FF7" s="121"/>
      <c r="FG7" s="121"/>
      <c r="FH7" s="121"/>
      <c r="FI7" s="121"/>
      <c r="FJ7" s="121"/>
      <c r="FK7" s="121"/>
      <c r="FL7" s="121"/>
      <c r="FM7" s="121"/>
      <c r="FN7" s="121"/>
      <c r="FO7" s="121"/>
      <c r="FP7" s="121"/>
      <c r="FQ7" s="121"/>
      <c r="FR7" s="121"/>
      <c r="FS7" s="121"/>
      <c r="FT7" s="121"/>
      <c r="FU7" s="121"/>
      <c r="FV7" s="121"/>
      <c r="FW7" s="121"/>
      <c r="FX7" s="121"/>
      <c r="FY7" s="121"/>
      <c r="FZ7" s="121"/>
      <c r="GA7" s="121"/>
      <c r="GB7" s="121"/>
      <c r="GC7" s="121"/>
      <c r="GD7" s="121"/>
      <c r="GE7" s="121"/>
      <c r="GF7" s="121"/>
      <c r="GG7" s="121"/>
      <c r="GH7" s="121"/>
      <c r="GI7" s="121"/>
      <c r="GJ7" s="121"/>
      <c r="GK7" s="121"/>
      <c r="GL7" s="121"/>
      <c r="GM7" s="121"/>
      <c r="GN7" s="121"/>
      <c r="GO7" s="121"/>
      <c r="GP7" s="121"/>
      <c r="GQ7" s="121"/>
      <c r="GR7" s="121"/>
      <c r="GS7" s="121"/>
      <c r="GT7" s="121"/>
      <c r="GU7" s="121"/>
      <c r="GV7" s="121"/>
      <c r="GW7" s="121"/>
      <c r="GX7" s="121"/>
      <c r="GY7" s="121"/>
      <c r="GZ7" s="121"/>
      <c r="HA7" s="121"/>
      <c r="HB7" s="121"/>
      <c r="HC7" s="121"/>
      <c r="HD7" s="121"/>
      <c r="HE7" s="121"/>
      <c r="HF7" s="121"/>
      <c r="HG7" s="121"/>
      <c r="HH7" s="121"/>
      <c r="HI7" s="121"/>
      <c r="HJ7" s="121"/>
      <c r="HK7" s="121"/>
      <c r="HL7" s="121"/>
      <c r="HM7" s="121"/>
      <c r="HN7" s="121"/>
      <c r="HO7" s="121"/>
      <c r="HP7" s="121"/>
      <c r="HQ7" s="121"/>
      <c r="HR7" s="121"/>
      <c r="HS7" s="121"/>
      <c r="HT7" s="121"/>
      <c r="HU7" s="121"/>
      <c r="HV7" s="121"/>
      <c r="HW7" s="121"/>
      <c r="HX7" s="121"/>
      <c r="HY7" s="121"/>
      <c r="HZ7" s="121"/>
      <c r="IA7" s="121"/>
      <c r="IB7" s="121"/>
      <c r="IC7" s="121"/>
      <c r="ID7" s="121"/>
      <c r="IE7" s="121"/>
      <c r="IF7" s="121"/>
      <c r="IG7" s="121"/>
      <c r="IH7" s="121"/>
      <c r="II7" s="121"/>
      <c r="IJ7" s="121"/>
      <c r="IK7" s="121"/>
      <c r="IL7" s="121"/>
      <c r="IM7" s="121"/>
      <c r="IN7" s="121"/>
      <c r="IO7" s="121"/>
      <c r="IP7" s="121"/>
      <c r="IQ7" s="121"/>
      <c r="IR7" s="121"/>
      <c r="IS7" s="121"/>
      <c r="IT7" s="121"/>
      <c r="IU7" s="121"/>
      <c r="IV7" s="121"/>
      <c r="IW7" s="121"/>
      <c r="IX7" s="121"/>
      <c r="IY7" s="121"/>
      <c r="IZ7" s="121"/>
      <c r="JA7" s="121"/>
      <c r="JB7" s="121"/>
      <c r="JC7" s="121"/>
      <c r="JD7" s="121"/>
      <c r="JE7" s="121"/>
      <c r="JF7" s="121"/>
      <c r="JG7" s="121"/>
      <c r="JH7" s="121"/>
      <c r="JI7" s="121"/>
      <c r="JJ7" s="121"/>
      <c r="JK7" s="121"/>
      <c r="JL7" s="121"/>
      <c r="JM7" s="121"/>
      <c r="JN7" s="121"/>
      <c r="JO7" s="121"/>
      <c r="JP7" s="121"/>
      <c r="JQ7" s="121"/>
      <c r="JR7" s="121"/>
      <c r="JS7" s="121"/>
      <c r="JT7" s="121"/>
      <c r="JU7" s="121"/>
      <c r="JV7" s="121"/>
      <c r="JW7" s="121"/>
      <c r="JX7" s="121"/>
      <c r="JY7" s="121"/>
      <c r="JZ7" s="121"/>
      <c r="KA7" s="121"/>
      <c r="KB7" s="121"/>
      <c r="KC7" s="121"/>
      <c r="KD7" s="121"/>
      <c r="KE7" s="121"/>
      <c r="KF7" s="121"/>
      <c r="KG7" s="121"/>
      <c r="KH7" s="121"/>
      <c r="KI7" s="121"/>
      <c r="KJ7" s="121"/>
      <c r="KK7" s="121"/>
      <c r="KL7" s="121"/>
      <c r="KM7" s="121"/>
      <c r="KN7" s="121"/>
      <c r="KO7" s="121"/>
      <c r="KP7" s="121"/>
      <c r="KQ7" s="121"/>
      <c r="KR7" s="121"/>
      <c r="KS7" s="121"/>
      <c r="KT7" s="121"/>
      <c r="KU7" s="121"/>
      <c r="KV7" s="121"/>
      <c r="KW7" s="121"/>
      <c r="KX7" s="121"/>
      <c r="KY7" s="121"/>
      <c r="KZ7" s="121"/>
      <c r="LA7" s="121"/>
      <c r="LB7" s="121"/>
      <c r="LC7" s="121"/>
      <c r="LD7" s="121"/>
      <c r="LE7" s="121"/>
      <c r="LF7" s="121"/>
      <c r="LG7" s="121"/>
      <c r="LH7" s="121"/>
      <c r="LI7" s="121"/>
      <c r="LJ7" s="121"/>
      <c r="LK7" s="121"/>
      <c r="LL7" s="121"/>
      <c r="LM7" s="121"/>
      <c r="LN7" s="121"/>
      <c r="LO7" s="121"/>
      <c r="LP7" s="121"/>
      <c r="LQ7" s="121"/>
      <c r="LR7" s="121"/>
      <c r="LS7" s="121"/>
      <c r="LT7" s="121"/>
      <c r="LU7" s="121"/>
      <c r="LV7" s="121"/>
      <c r="LW7" s="121"/>
      <c r="LX7" s="121"/>
      <c r="LY7" s="121"/>
      <c r="LZ7" s="121"/>
      <c r="MA7" s="121"/>
      <c r="MB7" s="121"/>
      <c r="MC7" s="121"/>
      <c r="MD7" s="121"/>
      <c r="ME7" s="121"/>
      <c r="MF7" s="121"/>
      <c r="MG7" s="121"/>
      <c r="MH7" s="121"/>
      <c r="MI7" s="121"/>
      <c r="MJ7" s="121"/>
      <c r="MK7" s="121"/>
      <c r="ML7" s="121"/>
      <c r="MM7" s="121"/>
      <c r="MN7" s="121"/>
      <c r="MO7" s="121"/>
      <c r="MP7" s="121"/>
      <c r="MQ7" s="121"/>
      <c r="MR7" s="121"/>
      <c r="MS7" s="121"/>
      <c r="MT7" s="121"/>
      <c r="MU7" s="121"/>
      <c r="MV7" s="121"/>
      <c r="MW7" s="121"/>
      <c r="MX7" s="121"/>
      <c r="MY7" s="121"/>
      <c r="MZ7" s="121"/>
      <c r="NA7" s="121"/>
      <c r="NB7" s="121"/>
      <c r="NC7" s="121"/>
      <c r="ND7" s="121"/>
      <c r="NE7" s="121"/>
      <c r="NF7" s="121"/>
      <c r="NG7" s="121"/>
      <c r="NH7" s="121"/>
      <c r="NI7" s="121"/>
      <c r="NJ7" s="121"/>
      <c r="NK7" s="121"/>
      <c r="NL7" s="121"/>
      <c r="NM7" s="121"/>
      <c r="NN7" s="121"/>
      <c r="NO7" s="121"/>
      <c r="NP7" s="121"/>
      <c r="NQ7" s="121"/>
      <c r="NR7" s="121"/>
      <c r="NS7" s="121"/>
      <c r="NT7" s="121"/>
      <c r="NU7" s="121"/>
      <c r="NV7" s="121"/>
      <c r="NW7" s="121"/>
      <c r="NX7" s="121"/>
      <c r="NY7" s="121"/>
      <c r="NZ7" s="121"/>
      <c r="OA7" s="121"/>
      <c r="OB7" s="121"/>
      <c r="OC7" s="121"/>
      <c r="OD7" s="121"/>
      <c r="OE7" s="121"/>
      <c r="OF7" s="121"/>
      <c r="OG7" s="121"/>
      <c r="OH7" s="121"/>
      <c r="OI7" s="121"/>
      <c r="OJ7" s="121"/>
      <c r="OK7" s="121"/>
      <c r="OL7" s="121"/>
      <c r="OM7" s="121"/>
      <c r="ON7" s="121"/>
      <c r="OO7" s="121"/>
      <c r="OP7" s="121"/>
      <c r="OQ7" s="121"/>
      <c r="OR7" s="121"/>
      <c r="OS7" s="121"/>
      <c r="OT7" s="121"/>
      <c r="OU7" s="121"/>
      <c r="OV7" s="121"/>
      <c r="OW7" s="121"/>
      <c r="OX7" s="121"/>
      <c r="OY7" s="121"/>
      <c r="OZ7" s="121"/>
      <c r="PA7" s="121"/>
      <c r="PB7" s="121"/>
      <c r="PC7" s="121"/>
      <c r="PD7" s="121"/>
      <c r="PE7" s="121"/>
      <c r="PF7" s="121"/>
      <c r="PG7" s="121"/>
      <c r="PH7" s="121"/>
      <c r="PI7" s="121"/>
      <c r="PJ7" s="121"/>
      <c r="PK7" s="121"/>
      <c r="PL7" s="121"/>
      <c r="PM7" s="121"/>
      <c r="PN7" s="121"/>
      <c r="PO7" s="121"/>
      <c r="PP7" s="121"/>
      <c r="PQ7" s="121"/>
      <c r="PR7" s="121"/>
      <c r="PS7" s="121"/>
      <c r="PT7" s="121"/>
      <c r="PU7" s="121"/>
      <c r="PV7" s="121"/>
      <c r="PW7" s="121"/>
      <c r="PX7" s="121"/>
      <c r="PY7" s="121"/>
      <c r="PZ7" s="121"/>
      <c r="QA7" s="121"/>
      <c r="QB7" s="121"/>
      <c r="QC7" s="121"/>
      <c r="QD7" s="121"/>
      <c r="QE7" s="121"/>
      <c r="QF7" s="121"/>
      <c r="QG7" s="121"/>
      <c r="QH7" s="121"/>
      <c r="QI7" s="121"/>
      <c r="QJ7" s="121"/>
      <c r="QK7" s="121"/>
      <c r="QL7" s="121"/>
      <c r="QM7" s="121"/>
      <c r="QN7" s="121"/>
      <c r="QO7" s="121"/>
      <c r="QP7" s="121"/>
      <c r="QQ7" s="121"/>
      <c r="QR7" s="121"/>
      <c r="QS7" s="121"/>
      <c r="QT7" s="121"/>
      <c r="QU7" s="121"/>
      <c r="QV7" s="121"/>
      <c r="QW7" s="121"/>
      <c r="QX7" s="121"/>
      <c r="QY7" s="121"/>
      <c r="QZ7" s="121"/>
      <c r="RA7" s="121"/>
      <c r="RB7" s="121"/>
      <c r="RC7" s="121"/>
      <c r="RD7" s="121"/>
      <c r="RE7" s="121"/>
      <c r="RF7" s="121"/>
      <c r="RG7" s="121"/>
      <c r="RH7" s="121"/>
      <c r="RI7" s="121"/>
      <c r="RJ7" s="121"/>
      <c r="RK7" s="121"/>
      <c r="RL7" s="121"/>
      <c r="RM7" s="121"/>
      <c r="RN7" s="121"/>
      <c r="RO7" s="121"/>
      <c r="RP7" s="121"/>
      <c r="RQ7" s="121"/>
      <c r="RR7" s="121"/>
      <c r="RS7" s="121"/>
      <c r="RT7" s="121"/>
      <c r="RU7" s="121"/>
      <c r="RV7" s="121"/>
      <c r="RW7" s="121"/>
      <c r="RX7" s="121"/>
      <c r="RY7" s="121"/>
      <c r="RZ7" s="121"/>
      <c r="SA7" s="121"/>
      <c r="SB7" s="121"/>
      <c r="SC7" s="121"/>
      <c r="SD7" s="121"/>
      <c r="SE7" s="121"/>
      <c r="SF7" s="121"/>
      <c r="SG7" s="121"/>
      <c r="SH7" s="121"/>
      <c r="SI7" s="121"/>
      <c r="SJ7" s="121"/>
      <c r="SK7" s="121"/>
      <c r="SL7" s="121"/>
      <c r="SM7" s="121"/>
      <c r="SN7" s="121"/>
      <c r="SO7" s="121"/>
      <c r="SP7" s="121"/>
      <c r="SQ7" s="121"/>
      <c r="SR7" s="121"/>
      <c r="SS7" s="121"/>
      <c r="ST7" s="121"/>
      <c r="SU7" s="121"/>
      <c r="SV7" s="121"/>
      <c r="SW7" s="121"/>
      <c r="SX7" s="121"/>
      <c r="SY7" s="121"/>
      <c r="SZ7" s="121"/>
      <c r="TA7" s="121"/>
      <c r="TB7" s="121"/>
      <c r="TC7" s="121"/>
      <c r="TD7" s="121"/>
      <c r="TE7" s="121"/>
      <c r="TF7" s="121"/>
      <c r="TG7" s="121"/>
      <c r="TH7" s="121"/>
      <c r="TI7" s="121"/>
      <c r="TJ7" s="121"/>
      <c r="TK7" s="121"/>
      <c r="TL7" s="121"/>
      <c r="TM7" s="121"/>
      <c r="TN7" s="121"/>
      <c r="TO7" s="121"/>
      <c r="TP7" s="121"/>
      <c r="TQ7" s="121"/>
      <c r="TR7" s="121"/>
      <c r="TS7" s="121"/>
      <c r="TT7" s="121"/>
      <c r="TU7" s="121"/>
      <c r="TV7" s="121"/>
      <c r="TW7" s="121"/>
      <c r="TX7" s="121"/>
      <c r="TY7" s="121"/>
      <c r="TZ7" s="121"/>
      <c r="UA7" s="121"/>
      <c r="UB7" s="121"/>
      <c r="UC7" s="121"/>
      <c r="UD7" s="121"/>
      <c r="UE7" s="121"/>
      <c r="UF7" s="121"/>
      <c r="UG7" s="121"/>
      <c r="UH7" s="121"/>
      <c r="UI7" s="121"/>
      <c r="UJ7" s="121"/>
      <c r="UK7" s="121"/>
      <c r="UL7" s="121"/>
      <c r="UM7" s="121"/>
      <c r="UN7" s="121"/>
      <c r="UO7" s="121"/>
      <c r="UP7" s="121"/>
      <c r="UQ7" s="121"/>
      <c r="UR7" s="121"/>
      <c r="US7" s="121"/>
      <c r="UT7" s="121"/>
      <c r="UU7" s="121"/>
      <c r="UV7" s="121"/>
      <c r="UW7" s="121"/>
      <c r="UX7" s="121"/>
      <c r="UY7" s="121"/>
      <c r="UZ7" s="121"/>
      <c r="VA7" s="121"/>
      <c r="VB7" s="121"/>
      <c r="VC7" s="121"/>
      <c r="VD7" s="121"/>
      <c r="VE7" s="121"/>
      <c r="VF7" s="121"/>
      <c r="VG7" s="121"/>
      <c r="VH7" s="121"/>
      <c r="VI7" s="121"/>
      <c r="VJ7" s="121"/>
      <c r="VK7" s="121"/>
      <c r="VL7" s="121"/>
      <c r="VM7" s="121"/>
      <c r="VN7" s="121"/>
      <c r="VO7" s="121"/>
      <c r="VP7" s="121"/>
      <c r="VQ7" s="121"/>
      <c r="VR7" s="121"/>
      <c r="VS7" s="121"/>
      <c r="VT7" s="121"/>
      <c r="VU7" s="121"/>
      <c r="VV7" s="121"/>
      <c r="VW7" s="121"/>
      <c r="VX7" s="121"/>
      <c r="VY7" s="121"/>
      <c r="VZ7" s="121"/>
      <c r="WA7" s="121"/>
      <c r="WB7" s="121"/>
      <c r="WC7" s="121"/>
      <c r="WD7" s="121"/>
      <c r="WE7" s="121"/>
      <c r="WF7" s="121"/>
      <c r="WG7" s="121"/>
      <c r="WH7" s="121"/>
      <c r="WI7" s="121"/>
      <c r="WJ7" s="121"/>
      <c r="WK7" s="121"/>
      <c r="WL7" s="121"/>
      <c r="WM7" s="121"/>
      <c r="WN7" s="121"/>
      <c r="WO7" s="121"/>
      <c r="WP7" s="121"/>
      <c r="WQ7" s="121"/>
      <c r="WR7" s="121"/>
      <c r="WS7" s="121"/>
      <c r="WT7" s="121"/>
      <c r="WU7" s="121"/>
      <c r="WV7" s="121"/>
      <c r="WW7" s="121"/>
      <c r="WX7" s="121"/>
      <c r="WY7" s="121"/>
      <c r="WZ7" s="121"/>
      <c r="XA7" s="121"/>
      <c r="XB7" s="121"/>
      <c r="XC7" s="121"/>
      <c r="XD7" s="121"/>
      <c r="XE7" s="121"/>
      <c r="XF7" s="121"/>
      <c r="XG7" s="121"/>
      <c r="XH7" s="121"/>
      <c r="XI7" s="121"/>
      <c r="XJ7" s="121"/>
      <c r="XK7" s="121"/>
      <c r="XL7" s="121"/>
      <c r="XM7" s="121"/>
      <c r="XN7" s="121"/>
      <c r="XO7" s="121"/>
      <c r="XP7" s="121"/>
      <c r="XQ7" s="121"/>
      <c r="XR7" s="121"/>
      <c r="XS7" s="121"/>
      <c r="XT7" s="121"/>
      <c r="XU7" s="121"/>
      <c r="XV7" s="121"/>
      <c r="XW7" s="121"/>
      <c r="XX7" s="121"/>
      <c r="XY7" s="121"/>
      <c r="XZ7" s="121"/>
      <c r="YA7" s="121"/>
      <c r="YB7" s="121"/>
      <c r="YC7" s="121"/>
      <c r="YD7" s="121"/>
      <c r="YE7" s="121"/>
      <c r="YF7" s="121"/>
      <c r="YG7" s="121"/>
      <c r="YH7" s="121"/>
      <c r="YI7" s="121"/>
      <c r="YJ7" s="121"/>
      <c r="YK7" s="121"/>
      <c r="YL7" s="121"/>
      <c r="YM7" s="121"/>
      <c r="YN7" s="121"/>
      <c r="YO7" s="121"/>
      <c r="YP7" s="121"/>
      <c r="YQ7" s="121"/>
      <c r="YR7" s="121"/>
      <c r="YS7" s="121"/>
      <c r="YT7" s="121"/>
      <c r="YU7" s="121"/>
      <c r="YV7" s="121"/>
      <c r="YW7" s="121"/>
      <c r="YX7" s="121"/>
      <c r="YY7" s="121"/>
      <c r="YZ7" s="121"/>
      <c r="ZA7" s="121"/>
      <c r="ZB7" s="121"/>
      <c r="ZC7" s="121"/>
      <c r="ZD7" s="121"/>
      <c r="ZE7" s="121"/>
      <c r="ZF7" s="121"/>
      <c r="ZG7" s="121"/>
      <c r="ZH7" s="121"/>
      <c r="ZI7" s="121"/>
      <c r="ZJ7" s="121"/>
      <c r="ZK7" s="121"/>
      <c r="ZL7" s="121"/>
      <c r="ZM7" s="121"/>
      <c r="ZN7" s="121"/>
      <c r="ZO7" s="121"/>
      <c r="ZP7" s="121"/>
      <c r="ZQ7" s="121"/>
      <c r="ZR7" s="121"/>
      <c r="ZS7" s="121"/>
      <c r="ZT7" s="121"/>
      <c r="ZU7" s="121"/>
      <c r="ZV7" s="121"/>
      <c r="ZW7" s="121"/>
      <c r="ZX7" s="121"/>
      <c r="ZY7" s="121"/>
      <c r="ZZ7" s="121"/>
      <c r="AAA7" s="121"/>
      <c r="AAB7" s="121"/>
      <c r="AAC7" s="121"/>
      <c r="AAD7" s="121"/>
      <c r="AAE7" s="121"/>
      <c r="AAF7" s="121"/>
      <c r="AAG7" s="121"/>
      <c r="AAH7" s="121"/>
      <c r="AAI7" s="121"/>
      <c r="AAJ7" s="121"/>
      <c r="AAK7" s="121"/>
      <c r="AAL7" s="121"/>
      <c r="AAM7" s="121"/>
      <c r="AAN7" s="121"/>
      <c r="AAO7" s="121"/>
      <c r="AAP7" s="121"/>
      <c r="AAQ7" s="121"/>
      <c r="AAR7" s="121"/>
      <c r="AAS7" s="121"/>
      <c r="AAT7" s="121"/>
      <c r="AAU7" s="121"/>
      <c r="AAV7" s="121"/>
      <c r="AAW7" s="121"/>
      <c r="AAX7" s="121"/>
      <c r="AAY7" s="121"/>
      <c r="AAZ7" s="121"/>
      <c r="ABA7" s="121"/>
      <c r="ABB7" s="121"/>
      <c r="ABC7" s="121"/>
      <c r="ABD7" s="121"/>
      <c r="ABE7" s="121"/>
      <c r="ABF7" s="121"/>
      <c r="ABG7" s="121"/>
      <c r="ABH7" s="121"/>
      <c r="ABI7" s="121"/>
      <c r="ABJ7" s="121"/>
      <c r="ABK7" s="121"/>
      <c r="ABL7" s="121"/>
      <c r="ABM7" s="121"/>
      <c r="ABN7" s="121"/>
      <c r="ABO7" s="121"/>
      <c r="ABP7" s="121"/>
      <c r="ABQ7" s="121"/>
      <c r="ABR7" s="121"/>
      <c r="ABS7" s="121"/>
      <c r="ABT7" s="121"/>
      <c r="ABU7" s="121"/>
      <c r="ABV7" s="121"/>
      <c r="ABW7" s="121"/>
      <c r="ABX7" s="121"/>
      <c r="ABY7" s="121"/>
      <c r="ABZ7" s="121"/>
      <c r="ACA7" s="121"/>
      <c r="ACB7" s="121"/>
      <c r="ACC7" s="121"/>
      <c r="ACD7" s="121"/>
      <c r="ACE7" s="121"/>
      <c r="ACF7" s="121"/>
      <c r="ACG7" s="121"/>
      <c r="ACH7" s="121"/>
      <c r="ACI7" s="121"/>
      <c r="ACJ7" s="121"/>
      <c r="ACK7" s="121"/>
      <c r="ACL7" s="121"/>
      <c r="ACM7" s="121"/>
      <c r="ACN7" s="121"/>
      <c r="ACO7" s="121"/>
      <c r="ACP7" s="121"/>
      <c r="ACQ7" s="121"/>
      <c r="ACR7" s="121"/>
      <c r="ACS7" s="121"/>
      <c r="ACT7" s="121"/>
      <c r="ACU7" s="121"/>
      <c r="ACV7" s="121"/>
      <c r="ACW7" s="121"/>
      <c r="ACX7" s="121"/>
      <c r="ACY7" s="121"/>
      <c r="ACZ7" s="121"/>
      <c r="ADA7" s="121"/>
      <c r="ADB7" s="121"/>
      <c r="ADC7" s="121"/>
      <c r="ADD7" s="121"/>
      <c r="ADE7" s="121"/>
      <c r="ADF7" s="121"/>
      <c r="ADG7" s="121"/>
      <c r="ADH7" s="121"/>
      <c r="ADI7" s="121"/>
    </row>
    <row r="8" spans="1:789" s="124" customFormat="1" ht="123" customHeight="1" x14ac:dyDescent="0.4">
      <c r="A8" s="132"/>
      <c r="B8" s="132"/>
      <c r="C8" s="130" t="s">
        <v>1</v>
      </c>
      <c r="D8" s="124" t="s">
        <v>158</v>
      </c>
      <c r="E8" s="124" t="s">
        <v>168</v>
      </c>
      <c r="F8" s="124" t="s">
        <v>171</v>
      </c>
      <c r="G8" s="124" t="s">
        <v>177</v>
      </c>
      <c r="H8" s="124" t="s">
        <v>177</v>
      </c>
    </row>
    <row r="9" spans="1:789" x14ac:dyDescent="0.4">
      <c r="A9" s="129"/>
      <c r="B9" s="129"/>
      <c r="C9" s="130" t="s">
        <v>2</v>
      </c>
      <c r="D9" s="100" t="s">
        <v>30</v>
      </c>
      <c r="E9" s="100" t="s">
        <v>30</v>
      </c>
      <c r="F9" s="100" t="s">
        <v>30</v>
      </c>
      <c r="G9" s="100" t="s">
        <v>30</v>
      </c>
      <c r="H9" s="100" t="s">
        <v>30</v>
      </c>
    </row>
    <row r="10" spans="1:789" x14ac:dyDescent="0.4">
      <c r="A10" s="129"/>
      <c r="B10" s="129"/>
      <c r="C10" s="130" t="s">
        <v>83</v>
      </c>
      <c r="E10" s="100" t="s">
        <v>166</v>
      </c>
    </row>
    <row r="11" spans="1:789" x14ac:dyDescent="0.4">
      <c r="A11" s="129"/>
      <c r="B11" s="129"/>
      <c r="C11" s="130" t="s">
        <v>104</v>
      </c>
      <c r="D11" s="100">
        <v>100</v>
      </c>
      <c r="E11" s="100">
        <v>100</v>
      </c>
      <c r="F11" s="100">
        <v>100</v>
      </c>
      <c r="G11" s="100">
        <v>130</v>
      </c>
      <c r="H11" s="100">
        <v>130</v>
      </c>
    </row>
    <row r="12" spans="1:789" hidden="1" x14ac:dyDescent="0.4">
      <c r="A12" s="129"/>
      <c r="B12" s="129"/>
      <c r="C12" s="130" t="s">
        <v>72</v>
      </c>
      <c r="G12" s="100">
        <v>120</v>
      </c>
      <c r="H12" s="100">
        <v>120</v>
      </c>
    </row>
    <row r="13" spans="1:789" hidden="1" x14ac:dyDescent="0.4">
      <c r="A13" s="129"/>
      <c r="B13" s="129"/>
      <c r="C13" s="130" t="s">
        <v>73</v>
      </c>
    </row>
    <row r="14" spans="1:789" hidden="1" x14ac:dyDescent="0.4">
      <c r="A14" s="129"/>
      <c r="B14" s="129"/>
      <c r="C14" s="130" t="s">
        <v>71</v>
      </c>
    </row>
    <row r="15" spans="1:789" hidden="1" x14ac:dyDescent="0.4">
      <c r="A15" s="129"/>
      <c r="B15" s="129"/>
      <c r="C15" s="130" t="s">
        <v>74</v>
      </c>
      <c r="G15" s="100">
        <v>100</v>
      </c>
      <c r="H15" s="100">
        <v>100</v>
      </c>
    </row>
    <row r="16" spans="1:789" hidden="1" x14ac:dyDescent="0.4">
      <c r="A16" s="129"/>
      <c r="B16" s="129"/>
      <c r="C16" s="130" t="s">
        <v>76</v>
      </c>
    </row>
    <row r="17" spans="1:8" x14ac:dyDescent="0.4">
      <c r="A17" s="129"/>
      <c r="B17" s="129"/>
      <c r="C17" s="130" t="s">
        <v>77</v>
      </c>
      <c r="D17" s="100">
        <f>調整後配点計算(D11,D12,D14,D15)</f>
        <v>100</v>
      </c>
      <c r="E17" s="100">
        <f>調整後配点計算(E11,E12,E14,E15)</f>
        <v>100</v>
      </c>
      <c r="F17" s="100">
        <f>調整後配点計算(F11,F12,F14,F15)</f>
        <v>100</v>
      </c>
      <c r="G17" s="100">
        <f>調整後配点計算(G11,G12,G14,G15)</f>
        <v>100</v>
      </c>
      <c r="H17" s="100">
        <f>調整後配点計算(H11,H12,H14,H15)</f>
        <v>100</v>
      </c>
    </row>
    <row r="18" spans="1:8" x14ac:dyDescent="0.4">
      <c r="A18" s="129"/>
      <c r="B18" s="129"/>
      <c r="C18" s="130" t="s">
        <v>61</v>
      </c>
      <c r="D18" s="100">
        <v>1</v>
      </c>
      <c r="E18" s="100">
        <v>1</v>
      </c>
      <c r="F18" s="100">
        <v>1</v>
      </c>
      <c r="G18" s="100">
        <v>1</v>
      </c>
      <c r="H18" s="100">
        <v>1</v>
      </c>
    </row>
    <row r="19" spans="1:8" x14ac:dyDescent="0.4">
      <c r="A19" s="129"/>
      <c r="B19" s="129"/>
      <c r="C19" s="130" t="s">
        <v>11</v>
      </c>
      <c r="D19" s="100">
        <f>AVERAGE(D23:D52)</f>
        <v>85.5</v>
      </c>
      <c r="E19" s="100">
        <f>AVERAGE(E23:E52)</f>
        <v>80</v>
      </c>
      <c r="F19" s="100">
        <f>AVERAGE(F23:F52)</f>
        <v>79.933333333333337</v>
      </c>
      <c r="G19" s="100">
        <f>AVERAGE(G23:G52)</f>
        <v>102.24137931034483</v>
      </c>
      <c r="H19" s="100">
        <f>AVERAGE(H23:H52)</f>
        <v>105.3</v>
      </c>
    </row>
    <row r="20" spans="1:8" x14ac:dyDescent="0.4">
      <c r="A20" s="129"/>
      <c r="B20" s="129"/>
      <c r="C20" s="130" t="s">
        <v>12</v>
      </c>
      <c r="D20" s="100">
        <f>MEDIAN(D23:D52)</f>
        <v>85.5</v>
      </c>
      <c r="E20" s="100">
        <f>MEDIAN(E23:E52)</f>
        <v>80</v>
      </c>
      <c r="F20" s="100">
        <f>MEDIAN(F23:F52)</f>
        <v>80</v>
      </c>
      <c r="G20" s="100">
        <f>MEDIAN(G23:G52)</f>
        <v>101</v>
      </c>
      <c r="H20" s="100">
        <f>MEDIAN(H23:H52)</f>
        <v>104</v>
      </c>
    </row>
    <row r="21" spans="1:8" x14ac:dyDescent="0.4">
      <c r="A21" s="129"/>
      <c r="B21" s="129"/>
      <c r="C21" s="130" t="s">
        <v>13</v>
      </c>
      <c r="D21" s="100">
        <f>_xlfn.STDEV.P(D23:D52)</f>
        <v>8.6554414483991895</v>
      </c>
      <c r="E21" s="100">
        <f>_xlfn.STDEV.P(E23:E52)</f>
        <v>0</v>
      </c>
      <c r="F21" s="100">
        <f>_xlfn.STDEV.P(F23:F52)</f>
        <v>0.35901098714230018</v>
      </c>
      <c r="G21" s="100">
        <f>_xlfn.STDEV.P(G23:G52)</f>
        <v>11.731640601422772</v>
      </c>
      <c r="H21" s="100">
        <f>_xlfn.STDEV.P(H23:H52)</f>
        <v>14.234113952051951</v>
      </c>
    </row>
    <row r="22" spans="1:8" ht="17.25" thickBot="1" x14ac:dyDescent="0.45">
      <c r="A22" s="133"/>
      <c r="B22" s="133"/>
      <c r="C22" s="134" t="s">
        <v>23</v>
      </c>
      <c r="D22" s="100">
        <f>D21/D19</f>
        <v>0.1012332333146104</v>
      </c>
      <c r="E22" s="100">
        <f>E21/E19</f>
        <v>0</v>
      </c>
      <c r="F22" s="100">
        <f>F21/F19</f>
        <v>4.4913801560754812E-3</v>
      </c>
      <c r="G22" s="100">
        <f>G21/G19</f>
        <v>0.1147445455113863</v>
      </c>
      <c r="H22" s="100">
        <f>H21/H19</f>
        <v>0.13517677067475736</v>
      </c>
    </row>
    <row r="23" spans="1:8" x14ac:dyDescent="0.4">
      <c r="B23" s="100" t="str">
        <f>名簿!C11</f>
        <v>田中</v>
      </c>
      <c r="C23" s="100" t="str">
        <f>名簿!D11</f>
        <v>雄介</v>
      </c>
      <c r="D23" s="100">
        <v>100</v>
      </c>
      <c r="E23" s="100">
        <v>80</v>
      </c>
      <c r="F23" s="100">
        <v>80</v>
      </c>
      <c r="G23" s="100">
        <v>112</v>
      </c>
      <c r="H23" s="100">
        <v>98</v>
      </c>
    </row>
    <row r="24" spans="1:8" x14ac:dyDescent="0.4">
      <c r="B24" s="100" t="str">
        <f>名簿!C12</f>
        <v>佐藤</v>
      </c>
      <c r="C24" s="100" t="str">
        <f>名簿!D12</f>
        <v>凛</v>
      </c>
      <c r="D24" s="100">
        <v>99</v>
      </c>
      <c r="E24" s="100">
        <v>80</v>
      </c>
      <c r="F24" s="100">
        <v>80</v>
      </c>
      <c r="G24" s="100">
        <v>89</v>
      </c>
      <c r="H24" s="100">
        <v>126</v>
      </c>
    </row>
    <row r="25" spans="1:8" x14ac:dyDescent="0.4">
      <c r="B25" s="100" t="str">
        <f>名簿!C13</f>
        <v>鈴木</v>
      </c>
      <c r="C25" s="100" t="str">
        <f>名簿!D13</f>
        <v>誠</v>
      </c>
      <c r="D25" s="100">
        <v>98</v>
      </c>
      <c r="E25" s="100">
        <v>80</v>
      </c>
      <c r="F25" s="100">
        <v>80</v>
      </c>
      <c r="G25" s="100">
        <v>90</v>
      </c>
      <c r="H25" s="100">
        <v>125</v>
      </c>
    </row>
    <row r="26" spans="1:8" x14ac:dyDescent="0.4">
      <c r="B26" s="100" t="str">
        <f>名簿!C14</f>
        <v>高橋</v>
      </c>
      <c r="C26" s="100" t="str">
        <f>名簿!D14</f>
        <v>美優</v>
      </c>
      <c r="D26" s="100">
        <v>97</v>
      </c>
      <c r="E26" s="100">
        <v>80</v>
      </c>
      <c r="F26" s="100">
        <v>80</v>
      </c>
      <c r="G26" s="100">
        <v>91</v>
      </c>
      <c r="H26" s="100">
        <v>96</v>
      </c>
    </row>
    <row r="27" spans="1:8" x14ac:dyDescent="0.4">
      <c r="B27" s="100" t="str">
        <f>名簿!C15</f>
        <v>渡辺</v>
      </c>
      <c r="C27" s="100" t="str">
        <f>名簿!D15</f>
        <v>誠</v>
      </c>
      <c r="D27" s="100">
        <v>96</v>
      </c>
      <c r="E27" s="100">
        <v>80</v>
      </c>
      <c r="F27" s="100">
        <v>80</v>
      </c>
      <c r="G27" s="100">
        <v>86</v>
      </c>
      <c r="H27" s="100">
        <v>93</v>
      </c>
    </row>
    <row r="28" spans="1:8" x14ac:dyDescent="0.4">
      <c r="B28" s="100" t="str">
        <f>名簿!C16</f>
        <v>伊藤</v>
      </c>
      <c r="C28" s="100" t="str">
        <f>名簿!D16</f>
        <v>凛</v>
      </c>
      <c r="D28" s="100">
        <v>95</v>
      </c>
      <c r="E28" s="100">
        <v>80</v>
      </c>
      <c r="F28" s="100">
        <v>80</v>
      </c>
      <c r="G28" s="100">
        <v>118</v>
      </c>
      <c r="H28" s="100">
        <v>106</v>
      </c>
    </row>
    <row r="29" spans="1:8" x14ac:dyDescent="0.4">
      <c r="B29" s="100" t="str">
        <f>名簿!C17</f>
        <v>山本</v>
      </c>
      <c r="C29" s="100" t="str">
        <f>名簿!D17</f>
        <v>太郎</v>
      </c>
      <c r="D29" s="100">
        <v>94</v>
      </c>
      <c r="E29" s="100">
        <v>80</v>
      </c>
      <c r="F29" s="100">
        <v>80</v>
      </c>
      <c r="G29" s="100">
        <v>89</v>
      </c>
      <c r="H29" s="100">
        <v>84</v>
      </c>
    </row>
    <row r="30" spans="1:8" x14ac:dyDescent="0.4">
      <c r="B30" s="100" t="str">
        <f>名簿!C18</f>
        <v>中村</v>
      </c>
      <c r="C30" s="100" t="str">
        <f>名簿!D18</f>
        <v>真央</v>
      </c>
      <c r="D30" s="100">
        <v>93</v>
      </c>
      <c r="E30" s="100">
        <v>80</v>
      </c>
      <c r="F30" s="100">
        <v>80</v>
      </c>
      <c r="G30" s="100">
        <v>119</v>
      </c>
      <c r="H30" s="100">
        <v>104</v>
      </c>
    </row>
    <row r="31" spans="1:8" x14ac:dyDescent="0.4">
      <c r="B31" s="100" t="str">
        <f>名簿!C19</f>
        <v>小林</v>
      </c>
      <c r="C31" s="100" t="str">
        <f>名簿!D19</f>
        <v>浩</v>
      </c>
      <c r="D31" s="100">
        <v>92</v>
      </c>
      <c r="E31" s="100">
        <v>80</v>
      </c>
      <c r="F31" s="100">
        <v>80</v>
      </c>
      <c r="G31" s="100">
        <v>87</v>
      </c>
      <c r="H31" s="100">
        <v>123</v>
      </c>
    </row>
    <row r="32" spans="1:8" x14ac:dyDescent="0.4">
      <c r="B32" s="100" t="str">
        <f>名簿!C20</f>
        <v>加藤</v>
      </c>
      <c r="C32" s="100" t="str">
        <f>名簿!D20</f>
        <v>さくら</v>
      </c>
      <c r="D32" s="100">
        <v>91</v>
      </c>
      <c r="E32" s="100">
        <v>80</v>
      </c>
      <c r="F32" s="100">
        <v>80</v>
      </c>
      <c r="G32" s="100">
        <v>126</v>
      </c>
      <c r="H32" s="100">
        <v>82</v>
      </c>
    </row>
    <row r="33" spans="2:8" x14ac:dyDescent="0.4">
      <c r="B33" s="100" t="str">
        <f>名簿!C21</f>
        <v>吉田</v>
      </c>
      <c r="C33" s="100" t="str">
        <f>名簿!D21</f>
        <v>亮</v>
      </c>
      <c r="D33" s="100">
        <v>90</v>
      </c>
      <c r="E33" s="100">
        <v>80</v>
      </c>
      <c r="F33" s="100">
        <v>80</v>
      </c>
      <c r="G33" s="100">
        <v>103</v>
      </c>
      <c r="H33" s="100">
        <v>91</v>
      </c>
    </row>
    <row r="34" spans="2:8" x14ac:dyDescent="0.4">
      <c r="B34" s="100" t="str">
        <f>名簿!C22</f>
        <v>山田</v>
      </c>
      <c r="C34" s="100" t="str">
        <f>名簿!D22</f>
        <v>愛</v>
      </c>
      <c r="D34" s="100">
        <v>89</v>
      </c>
      <c r="E34" s="100">
        <v>80</v>
      </c>
      <c r="F34" s="100">
        <v>80</v>
      </c>
      <c r="G34" s="100">
        <v>100</v>
      </c>
      <c r="H34" s="100">
        <v>103</v>
      </c>
    </row>
    <row r="35" spans="2:8" x14ac:dyDescent="0.4">
      <c r="B35" s="100" t="str">
        <f>名簿!C23</f>
        <v>佐々木</v>
      </c>
      <c r="C35" s="100" t="str">
        <f>名簿!D23</f>
        <v>浩</v>
      </c>
      <c r="D35" s="100">
        <v>88</v>
      </c>
      <c r="E35" s="100">
        <v>80</v>
      </c>
      <c r="F35" s="100">
        <v>80</v>
      </c>
      <c r="G35" s="100">
        <v>96</v>
      </c>
      <c r="H35" s="100">
        <v>107</v>
      </c>
    </row>
    <row r="36" spans="2:8" x14ac:dyDescent="0.4">
      <c r="B36" s="100" t="str">
        <f>名簿!C24</f>
        <v>山口</v>
      </c>
      <c r="C36" s="100" t="str">
        <f>名簿!D24</f>
        <v>結衣</v>
      </c>
      <c r="D36" s="100">
        <v>87</v>
      </c>
      <c r="E36" s="100">
        <v>80</v>
      </c>
      <c r="F36" s="100">
        <v>78</v>
      </c>
      <c r="G36" s="100">
        <v>107</v>
      </c>
      <c r="H36" s="100">
        <v>91</v>
      </c>
    </row>
    <row r="37" spans="2:8" x14ac:dyDescent="0.4">
      <c r="B37" s="100" t="str">
        <f>名簿!C25</f>
        <v>松本</v>
      </c>
      <c r="C37" s="100" t="str">
        <f>名簿!D25</f>
        <v>浩</v>
      </c>
      <c r="D37" s="100">
        <v>86</v>
      </c>
      <c r="E37" s="100">
        <v>80</v>
      </c>
      <c r="F37" s="100">
        <v>80</v>
      </c>
      <c r="H37" s="100">
        <v>104</v>
      </c>
    </row>
    <row r="38" spans="2:8" x14ac:dyDescent="0.4">
      <c r="B38" s="100" t="str">
        <f>名簿!C26</f>
        <v>井上</v>
      </c>
      <c r="C38" s="100" t="str">
        <f>名簿!D26</f>
        <v>結衣</v>
      </c>
      <c r="D38" s="100">
        <v>85</v>
      </c>
      <c r="E38" s="100">
        <v>80</v>
      </c>
      <c r="F38" s="100">
        <v>80</v>
      </c>
      <c r="G38" s="100">
        <v>92</v>
      </c>
      <c r="H38" s="100">
        <v>119</v>
      </c>
    </row>
    <row r="39" spans="2:8" x14ac:dyDescent="0.4">
      <c r="B39" s="100" t="str">
        <f>名簿!C27</f>
        <v>木村</v>
      </c>
      <c r="C39" s="100" t="str">
        <f>名簿!D27</f>
        <v>学</v>
      </c>
      <c r="D39" s="100">
        <v>84</v>
      </c>
      <c r="E39" s="100">
        <v>80</v>
      </c>
      <c r="F39" s="100">
        <v>80</v>
      </c>
      <c r="G39" s="100">
        <v>111</v>
      </c>
      <c r="H39" s="100">
        <v>121</v>
      </c>
    </row>
    <row r="40" spans="2:8" x14ac:dyDescent="0.4">
      <c r="B40" s="100" t="str">
        <f>名簿!C28</f>
        <v>林</v>
      </c>
      <c r="C40" s="100" t="str">
        <f>名簿!D28</f>
        <v>凛</v>
      </c>
      <c r="D40" s="100">
        <v>83</v>
      </c>
      <c r="E40" s="100">
        <v>80</v>
      </c>
      <c r="F40" s="100">
        <v>80</v>
      </c>
      <c r="G40" s="100">
        <v>114</v>
      </c>
      <c r="H40" s="100">
        <v>129</v>
      </c>
    </row>
    <row r="41" spans="2:8" x14ac:dyDescent="0.4">
      <c r="B41" s="100" t="str">
        <f>名簿!C29</f>
        <v>斎藤</v>
      </c>
      <c r="C41" s="100" t="str">
        <f>名簿!D29</f>
        <v>翔太</v>
      </c>
      <c r="D41" s="100">
        <v>82</v>
      </c>
      <c r="E41" s="100">
        <v>80</v>
      </c>
      <c r="F41" s="100">
        <v>80</v>
      </c>
      <c r="G41" s="100">
        <v>89</v>
      </c>
      <c r="H41" s="100">
        <v>101</v>
      </c>
    </row>
    <row r="42" spans="2:8" x14ac:dyDescent="0.4">
      <c r="B42" s="100" t="str">
        <f>名簿!C30</f>
        <v>清水</v>
      </c>
      <c r="C42" s="100" t="str">
        <f>名簿!D30</f>
        <v>結衣</v>
      </c>
      <c r="D42" s="100">
        <v>81</v>
      </c>
      <c r="E42" s="100">
        <v>80</v>
      </c>
      <c r="F42" s="100">
        <v>80</v>
      </c>
      <c r="G42" s="100">
        <v>101</v>
      </c>
      <c r="H42" s="100">
        <v>91</v>
      </c>
    </row>
    <row r="43" spans="2:8" x14ac:dyDescent="0.4">
      <c r="B43" s="100" t="str">
        <f>名簿!C31</f>
        <v>山崎</v>
      </c>
      <c r="C43" s="100" t="str">
        <f>名簿!D31</f>
        <v>一郎</v>
      </c>
      <c r="D43" s="100">
        <v>80</v>
      </c>
      <c r="E43" s="100">
        <v>80</v>
      </c>
      <c r="F43" s="100">
        <v>80</v>
      </c>
      <c r="G43" s="100">
        <v>95</v>
      </c>
      <c r="H43" s="100">
        <v>87</v>
      </c>
    </row>
    <row r="44" spans="2:8" x14ac:dyDescent="0.4">
      <c r="B44" s="100" t="str">
        <f>名簿!C32</f>
        <v>森</v>
      </c>
      <c r="C44" s="100" t="str">
        <f>名簿!D32</f>
        <v>凛</v>
      </c>
      <c r="D44" s="100">
        <v>79</v>
      </c>
      <c r="E44" s="100">
        <v>80</v>
      </c>
      <c r="F44" s="100">
        <v>80</v>
      </c>
      <c r="G44" s="100">
        <v>127</v>
      </c>
      <c r="H44" s="100">
        <v>96</v>
      </c>
    </row>
    <row r="45" spans="2:8" x14ac:dyDescent="0.4">
      <c r="B45" s="100" t="str">
        <f>名簿!C33</f>
        <v>池田</v>
      </c>
      <c r="C45" s="100" t="str">
        <f>名簿!D33</f>
        <v>直樹</v>
      </c>
      <c r="D45" s="100">
        <v>78</v>
      </c>
      <c r="E45" s="100">
        <v>80</v>
      </c>
      <c r="F45" s="100">
        <v>80</v>
      </c>
      <c r="G45" s="100">
        <v>100</v>
      </c>
      <c r="H45" s="100">
        <v>104</v>
      </c>
    </row>
    <row r="46" spans="2:8" x14ac:dyDescent="0.4">
      <c r="B46" s="100" t="str">
        <f>名簿!C34</f>
        <v>橋本</v>
      </c>
      <c r="C46" s="100" t="str">
        <f>名簿!D34</f>
        <v>愛</v>
      </c>
      <c r="D46" s="100">
        <v>77</v>
      </c>
      <c r="E46" s="100">
        <v>80</v>
      </c>
      <c r="F46" s="100">
        <v>80</v>
      </c>
      <c r="G46" s="100">
        <v>108</v>
      </c>
      <c r="H46" s="100">
        <v>124</v>
      </c>
    </row>
    <row r="47" spans="2:8" x14ac:dyDescent="0.4">
      <c r="B47" s="100" t="str">
        <f>名簿!C35</f>
        <v>阿部</v>
      </c>
      <c r="C47" s="100" t="str">
        <f>名簿!D35</f>
        <v>健太</v>
      </c>
      <c r="D47" s="100">
        <v>76</v>
      </c>
      <c r="E47" s="100">
        <v>80</v>
      </c>
      <c r="F47" s="100">
        <v>80</v>
      </c>
      <c r="G47" s="100">
        <v>115</v>
      </c>
      <c r="H47" s="100">
        <v>102</v>
      </c>
    </row>
    <row r="48" spans="2:8" x14ac:dyDescent="0.4">
      <c r="B48" s="100" t="str">
        <f>名簿!C36</f>
        <v>石川</v>
      </c>
      <c r="C48" s="100" t="str">
        <f>名簿!D36</f>
        <v>陽菜</v>
      </c>
      <c r="D48" s="100">
        <v>75</v>
      </c>
      <c r="E48" s="100">
        <v>80</v>
      </c>
      <c r="F48" s="100">
        <v>80</v>
      </c>
      <c r="G48" s="100">
        <v>103</v>
      </c>
      <c r="H48" s="100">
        <v>84</v>
      </c>
    </row>
    <row r="49" spans="2:8" x14ac:dyDescent="0.4">
      <c r="B49" s="100" t="str">
        <f>名簿!C37</f>
        <v>山下</v>
      </c>
      <c r="C49" s="100" t="str">
        <f>名簿!D37</f>
        <v>学</v>
      </c>
      <c r="D49" s="100">
        <v>74</v>
      </c>
      <c r="E49" s="100">
        <v>80</v>
      </c>
      <c r="F49" s="100">
        <v>80</v>
      </c>
      <c r="G49" s="100">
        <v>101</v>
      </c>
      <c r="H49" s="100">
        <v>120</v>
      </c>
    </row>
    <row r="50" spans="2:8" x14ac:dyDescent="0.4">
      <c r="B50" s="100" t="str">
        <f>名簿!C38</f>
        <v>中島</v>
      </c>
      <c r="C50" s="100" t="str">
        <f>名簿!D38</f>
        <v>凛</v>
      </c>
      <c r="D50" s="100">
        <v>73</v>
      </c>
      <c r="E50" s="100">
        <v>80</v>
      </c>
      <c r="F50" s="100">
        <v>80</v>
      </c>
      <c r="G50" s="100">
        <v>87</v>
      </c>
      <c r="H50" s="100">
        <v>112</v>
      </c>
    </row>
    <row r="51" spans="2:8" x14ac:dyDescent="0.4">
      <c r="B51" s="100" t="str">
        <f>名簿!C39</f>
        <v>石井</v>
      </c>
      <c r="C51" s="100" t="str">
        <f>名簿!D39</f>
        <v>健太</v>
      </c>
      <c r="D51" s="100">
        <v>72</v>
      </c>
      <c r="E51" s="100">
        <v>80</v>
      </c>
      <c r="F51" s="100">
        <v>80</v>
      </c>
      <c r="G51" s="100">
        <v>103</v>
      </c>
      <c r="H51" s="100">
        <v>108</v>
      </c>
    </row>
    <row r="52" spans="2:8" x14ac:dyDescent="0.4">
      <c r="B52" s="100" t="str">
        <f>名簿!C40</f>
        <v>小川</v>
      </c>
      <c r="C52" s="100" t="str">
        <f>名簿!D40</f>
        <v>楓</v>
      </c>
      <c r="D52" s="100">
        <v>71</v>
      </c>
      <c r="E52" s="100">
        <v>80</v>
      </c>
      <c r="F52" s="100">
        <v>80</v>
      </c>
      <c r="G52" s="100">
        <v>106</v>
      </c>
      <c r="H52" s="100">
        <v>128</v>
      </c>
    </row>
    <row r="53" spans="2:8" x14ac:dyDescent="0.4">
      <c r="B53" s="100">
        <f>名簿!C41</f>
        <v>0</v>
      </c>
      <c r="C53" s="100">
        <f>名簿!D41</f>
        <v>0</v>
      </c>
    </row>
    <row r="54" spans="2:8" x14ac:dyDescent="0.4">
      <c r="B54" s="100">
        <f>名簿!C42</f>
        <v>0</v>
      </c>
      <c r="C54" s="100">
        <f>名簿!D42</f>
        <v>0</v>
      </c>
    </row>
    <row r="55" spans="2:8" x14ac:dyDescent="0.4">
      <c r="B55" s="100">
        <f>名簿!C43</f>
        <v>0</v>
      </c>
      <c r="C55" s="100">
        <f>名簿!D43</f>
        <v>0</v>
      </c>
    </row>
    <row r="56" spans="2:8" x14ac:dyDescent="0.4">
      <c r="B56" s="100">
        <f>名簿!C44</f>
        <v>0</v>
      </c>
      <c r="C56" s="100">
        <f>名簿!D44</f>
        <v>0</v>
      </c>
    </row>
    <row r="57" spans="2:8" x14ac:dyDescent="0.4">
      <c r="B57" s="100">
        <f>名簿!C45</f>
        <v>0</v>
      </c>
      <c r="C57" s="100">
        <f>名簿!D45</f>
        <v>0</v>
      </c>
    </row>
    <row r="58" spans="2:8" x14ac:dyDescent="0.4">
      <c r="B58" s="100">
        <f>名簿!C46</f>
        <v>0</v>
      </c>
      <c r="C58" s="100">
        <f>名簿!D46</f>
        <v>0</v>
      </c>
    </row>
    <row r="59" spans="2:8" x14ac:dyDescent="0.4">
      <c r="B59" s="100">
        <f>名簿!C47</f>
        <v>0</v>
      </c>
      <c r="C59" s="100">
        <f>名簿!D47</f>
        <v>0</v>
      </c>
    </row>
    <row r="60" spans="2:8" x14ac:dyDescent="0.4">
      <c r="B60" s="100">
        <f>名簿!C48</f>
        <v>0</v>
      </c>
      <c r="C60" s="100">
        <f>名簿!D48</f>
        <v>0</v>
      </c>
    </row>
    <row r="61" spans="2:8" x14ac:dyDescent="0.4">
      <c r="B61" s="100">
        <f>名簿!C49</f>
        <v>0</v>
      </c>
      <c r="C61" s="100">
        <f>名簿!D49</f>
        <v>0</v>
      </c>
    </row>
    <row r="62" spans="2:8" x14ac:dyDescent="0.4">
      <c r="B62" s="100">
        <f>名簿!C50</f>
        <v>0</v>
      </c>
      <c r="C62" s="100">
        <f>名簿!D50</f>
        <v>0</v>
      </c>
    </row>
  </sheetData>
  <phoneticPr fontId="1"/>
  <pageMargins left="0.7" right="0.7" top="0.75" bottom="0.75" header="0.3" footer="0.3"/>
  <pageSetup paperSize="12" scale="77" orientation="portrait" horizontalDpi="1200" verticalDpi="1200" r:id="rId1"/>
  <rowBreaks count="1" manualBreakCount="1">
    <brk id="48" max="16383" man="1"/>
  </rowBreaks>
  <drawing r:id="rId2"/>
  <legacyDrawing r:id="rId3"/>
  <controls>
    <mc:AlternateContent xmlns:mc="http://schemas.openxmlformats.org/markup-compatibility/2006">
      <mc:Choice Requires="x14">
        <control shapeId="5131" r:id="rId4" name="Ope_result">
          <controlPr defaultSize="0" autoLine="0" r:id="rId5">
            <anchor moveWithCells="1">
              <from>
                <xdr:col>6</xdr:col>
                <xdr:colOff>304800</xdr:colOff>
                <xdr:row>0</xdr:row>
                <xdr:rowOff>28575</xdr:rowOff>
              </from>
              <to>
                <xdr:col>9</xdr:col>
                <xdr:colOff>228600</xdr:colOff>
                <xdr:row>1</xdr:row>
                <xdr:rowOff>200025</xdr:rowOff>
              </to>
            </anchor>
          </controlPr>
        </control>
      </mc:Choice>
      <mc:Fallback>
        <control shapeId="5131" r:id="rId4" name="Ope_result"/>
      </mc:Fallback>
    </mc:AlternateContent>
    <mc:AlternateContent xmlns:mc="http://schemas.openxmlformats.org/markup-compatibility/2006">
      <mc:Choice Requires="x14">
        <control shapeId="5128" r:id="rId6" name="Delete_Sh_Subject">
          <controlPr defaultSize="0" autoLine="0" r:id="rId7">
            <anchor moveWithCells="1">
              <from>
                <xdr:col>4</xdr:col>
                <xdr:colOff>9525</xdr:colOff>
                <xdr:row>0</xdr:row>
                <xdr:rowOff>28575</xdr:rowOff>
              </from>
              <to>
                <xdr:col>6</xdr:col>
                <xdr:colOff>304800</xdr:colOff>
                <xdr:row>1</xdr:row>
                <xdr:rowOff>200025</xdr:rowOff>
              </to>
            </anchor>
          </controlPr>
        </control>
      </mc:Choice>
      <mc:Fallback>
        <control shapeId="5128" r:id="rId6" name="Delete_Sh_Subject"/>
      </mc:Fallback>
    </mc:AlternateContent>
    <mc:AlternateContent xmlns:mc="http://schemas.openxmlformats.org/markup-compatibility/2006">
      <mc:Choice Requires="x14">
        <control shapeId="5127" r:id="rId8" name="Update">
          <controlPr defaultSize="0" autoLine="0" r:id="rId9">
            <anchor moveWithCells="1">
              <from>
                <xdr:col>2</xdr:col>
                <xdr:colOff>9525</xdr:colOff>
                <xdr:row>0</xdr:row>
                <xdr:rowOff>28575</xdr:rowOff>
              </from>
              <to>
                <xdr:col>3</xdr:col>
                <xdr:colOff>342900</xdr:colOff>
                <xdr:row>1</xdr:row>
                <xdr:rowOff>200025</xdr:rowOff>
              </to>
            </anchor>
          </controlPr>
        </control>
      </mc:Choice>
      <mc:Fallback>
        <control shapeId="5127" r:id="rId8" name="Update"/>
      </mc:Fallback>
    </mc:AlternateContent>
    <mc:AlternateContent xmlns:mc="http://schemas.openxmlformats.org/markup-compatibility/2006">
      <mc:Choice Requires="x14">
        <control shapeId="5125" r:id="rId10" name="Perspective5">
          <controlPr defaultSize="0" autoLine="0" r:id="rId11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5" r:id="rId10" name="Perspective5"/>
      </mc:Fallback>
    </mc:AlternateContent>
    <mc:AlternateContent xmlns:mc="http://schemas.openxmlformats.org/markup-compatibility/2006">
      <mc:Choice Requires="x14">
        <control shapeId="5124" r:id="rId12" name="Perspective4">
          <controlPr defaultSize="0" autoLine="0" r:id="rId13">
            <anchor moveWithCells="1">
              <from>
                <xdr:col>9</xdr:col>
                <xdr:colOff>0</xdr:colOff>
                <xdr:row>2</xdr:row>
                <xdr:rowOff>19050</xdr:rowOff>
              </from>
              <to>
                <xdr:col>12</xdr:col>
                <xdr:colOff>247650</xdr:colOff>
                <xdr:row>2</xdr:row>
                <xdr:rowOff>295275</xdr:rowOff>
              </to>
            </anchor>
          </controlPr>
        </control>
      </mc:Choice>
      <mc:Fallback>
        <control shapeId="5124" r:id="rId12" name="Perspective4"/>
      </mc:Fallback>
    </mc:AlternateContent>
    <mc:AlternateContent xmlns:mc="http://schemas.openxmlformats.org/markup-compatibility/2006">
      <mc:Choice Requires="x14">
        <control shapeId="5123" r:id="rId14" name="Perspective3">
          <controlPr defaultSize="0" autoLine="0" r:id="rId15">
            <anchor moveWithCells="1">
              <from>
                <xdr:col>6</xdr:col>
                <xdr:colOff>333375</xdr:colOff>
                <xdr:row>2</xdr:row>
                <xdr:rowOff>0</xdr:rowOff>
              </from>
              <to>
                <xdr:col>10</xdr:col>
                <xdr:colOff>209550</xdr:colOff>
                <xdr:row>2</xdr:row>
                <xdr:rowOff>276225</xdr:rowOff>
              </to>
            </anchor>
          </controlPr>
        </control>
      </mc:Choice>
      <mc:Fallback>
        <control shapeId="5123" r:id="rId14" name="Perspective3"/>
      </mc:Fallback>
    </mc:AlternateContent>
    <mc:AlternateContent xmlns:mc="http://schemas.openxmlformats.org/markup-compatibility/2006">
      <mc:Choice Requires="x14">
        <control shapeId="5122" r:id="rId16" name="Perspective2">
          <controlPr defaultSize="0" autoLine="0" r:id="rId17">
            <anchor moveWithCells="1">
              <from>
                <xdr:col>3</xdr:col>
                <xdr:colOff>38100</xdr:colOff>
                <xdr:row>2</xdr:row>
                <xdr:rowOff>0</xdr:rowOff>
              </from>
              <to>
                <xdr:col>6</xdr:col>
                <xdr:colOff>257175</xdr:colOff>
                <xdr:row>2</xdr:row>
                <xdr:rowOff>276225</xdr:rowOff>
              </to>
            </anchor>
          </controlPr>
        </control>
      </mc:Choice>
      <mc:Fallback>
        <control shapeId="5122" r:id="rId16" name="Perspective2"/>
      </mc:Fallback>
    </mc:AlternateContent>
    <mc:AlternateContent xmlns:mc="http://schemas.openxmlformats.org/markup-compatibility/2006">
      <mc:Choice Requires="x14">
        <control shapeId="5121" r:id="rId18" name="Perspective1">
          <controlPr defaultSize="0" autoLine="0" r:id="rId19">
            <anchor moveWithCells="1">
              <from>
                <xdr:col>1</xdr:col>
                <xdr:colOff>47625</xdr:colOff>
                <xdr:row>2</xdr:row>
                <xdr:rowOff>9525</xdr:rowOff>
              </from>
              <to>
                <xdr:col>2</xdr:col>
                <xdr:colOff>619125</xdr:colOff>
                <xdr:row>2</xdr:row>
                <xdr:rowOff>285750</xdr:rowOff>
              </to>
            </anchor>
          </controlPr>
        </control>
      </mc:Choice>
      <mc:Fallback>
        <control shapeId="5121" r:id="rId18" name="Perspective1"/>
      </mc:Fallback>
    </mc:AlternateContent>
    <mc:AlternateContent xmlns:mc="http://schemas.openxmlformats.org/markup-compatibility/2006">
      <mc:Choice Requires="x14">
        <control shapeId="5132" r:id="rId20" name="Button 12">
          <controlPr defaultSize="0" print="0" autoFill="0" autoPict="0" macro="[0]!sh_subject.Btm_adjustscore_hide_reveal">
            <anchor moveWithCells="1" sizeWithCells="1">
              <from>
                <xdr:col>0</xdr:col>
                <xdr:colOff>9525</xdr:colOff>
                <xdr:row>4</xdr:row>
                <xdr:rowOff>9525</xdr:rowOff>
              </from>
              <to>
                <xdr:col>1</xdr:col>
                <xdr:colOff>9525</xdr:colOff>
                <xdr:row>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Button 14">
          <controlPr defaultSize="0" print="0" autoFill="0" autoPict="0" macro="[0]!sh_subject.Btn_IS_adj_score">
            <anchor moveWithCells="1" sizeWithCells="1">
              <from>
                <xdr:col>0</xdr:col>
                <xdr:colOff>19050</xdr:colOff>
                <xdr:row>3</xdr:row>
                <xdr:rowOff>9525</xdr:rowOff>
              </from>
              <to>
                <xdr:col>1</xdr:col>
                <xdr:colOff>9525</xdr:colOff>
                <xdr:row>3</xdr:row>
                <xdr:rowOff>219075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5" r:id="rId22" name="Button 15">
          <controlPr defaultSize="0" print="0" autoFill="0" autoPict="0" macro="[0]!sh_subject.Btn_NormalizeWeight_Click">
            <anchor moveWithCells="1" sizeWithCells="1">
              <from>
                <xdr:col>0</xdr:col>
                <xdr:colOff>9525</xdr:colOff>
                <xdr:row>5</xdr:row>
                <xdr:rowOff>28575</xdr:rowOff>
              </from>
              <to>
                <xdr:col>1</xdr:col>
                <xdr:colOff>0</xdr:colOff>
                <xdr:row>6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6701EF8-FFEE-4F67-85B1-F1CA2A581DF3}">
          <x14:formula1>
            <xm:f>Setting!$B$3:$B$8</xm:f>
          </x14:formula1>
          <xm:sqref>B2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C700B5-C65D-44AB-BA6D-EB8D8A4AFC9C}">
  <sheetPr codeName="sh_result">
    <tabColor rgb="FF548235"/>
  </sheetPr>
  <dimension ref="A8:AM50"/>
  <sheetViews>
    <sheetView tabSelected="1" zoomScaleNormal="100" workbookViewId="0">
      <selection activeCell="P19" sqref="P19"/>
    </sheetView>
  </sheetViews>
  <sheetFormatPr defaultColWidth="5" defaultRowHeight="18.75" x14ac:dyDescent="0.4"/>
  <cols>
    <col min="1" max="3" width="9" customWidth="1"/>
  </cols>
  <sheetData>
    <row r="8" spans="1:39" x14ac:dyDescent="0.4">
      <c r="D8" t="s">
        <v>29</v>
      </c>
      <c r="F8" t="s">
        <v>29</v>
      </c>
      <c r="H8" t="s">
        <v>29</v>
      </c>
      <c r="J8" t="s">
        <v>163</v>
      </c>
      <c r="L8" t="s">
        <v>163</v>
      </c>
      <c r="N8" t="s">
        <v>163</v>
      </c>
      <c r="P8" t="s">
        <v>175</v>
      </c>
      <c r="R8" t="s">
        <v>175</v>
      </c>
      <c r="T8" t="s">
        <v>175</v>
      </c>
      <c r="V8" t="s">
        <v>182</v>
      </c>
      <c r="X8" t="s">
        <v>182</v>
      </c>
      <c r="Z8" t="s">
        <v>182</v>
      </c>
      <c r="AB8" t="s">
        <v>183</v>
      </c>
      <c r="AD8" t="s">
        <v>183</v>
      </c>
      <c r="AF8" t="s">
        <v>183</v>
      </c>
      <c r="AH8" t="s">
        <v>184</v>
      </c>
      <c r="AJ8" t="s">
        <v>184</v>
      </c>
      <c r="AL8" t="s">
        <v>184</v>
      </c>
    </row>
    <row r="9" spans="1:39" s="2" customFormat="1" x14ac:dyDescent="0.4">
      <c r="D9" s="2" t="s">
        <v>30</v>
      </c>
      <c r="F9" s="2" t="s">
        <v>26</v>
      </c>
      <c r="H9" s="2" t="s">
        <v>165</v>
      </c>
      <c r="J9" s="2" t="s">
        <v>30</v>
      </c>
      <c r="L9" s="2" t="s">
        <v>26</v>
      </c>
      <c r="N9" s="2" t="s">
        <v>165</v>
      </c>
      <c r="P9" s="2" t="s">
        <v>30</v>
      </c>
      <c r="R9" s="2" t="s">
        <v>26</v>
      </c>
      <c r="T9" s="2" t="s">
        <v>165</v>
      </c>
      <c r="V9" s="2" t="s">
        <v>30</v>
      </c>
      <c r="X9" s="2" t="s">
        <v>26</v>
      </c>
      <c r="Z9" s="2" t="s">
        <v>165</v>
      </c>
      <c r="AB9" s="2" t="s">
        <v>30</v>
      </c>
      <c r="AD9" s="2" t="s">
        <v>26</v>
      </c>
      <c r="AF9" s="2" t="s">
        <v>165</v>
      </c>
      <c r="AH9" s="2" t="s">
        <v>30</v>
      </c>
      <c r="AJ9" s="2" t="s">
        <v>26</v>
      </c>
      <c r="AL9" s="2" t="s">
        <v>165</v>
      </c>
    </row>
    <row r="10" spans="1:39" s="2" customFormat="1" x14ac:dyDescent="0.4">
      <c r="D10" s="2" t="s">
        <v>180</v>
      </c>
      <c r="E10" s="2" t="s">
        <v>181</v>
      </c>
      <c r="F10" s="2" t="s">
        <v>180</v>
      </c>
      <c r="G10" s="2" t="s">
        <v>181</v>
      </c>
      <c r="H10" s="2" t="s">
        <v>180</v>
      </c>
      <c r="I10" s="2" t="s">
        <v>181</v>
      </c>
      <c r="J10" s="2" t="s">
        <v>180</v>
      </c>
      <c r="K10" s="2" t="s">
        <v>181</v>
      </c>
      <c r="L10" s="2" t="s">
        <v>180</v>
      </c>
      <c r="M10" s="2" t="s">
        <v>181</v>
      </c>
      <c r="N10" s="2" t="s">
        <v>180</v>
      </c>
      <c r="O10" s="2" t="s">
        <v>181</v>
      </c>
      <c r="P10" s="2" t="s">
        <v>180</v>
      </c>
      <c r="Q10" s="2" t="s">
        <v>181</v>
      </c>
      <c r="R10" s="2" t="s">
        <v>180</v>
      </c>
      <c r="S10" s="2" t="s">
        <v>181</v>
      </c>
      <c r="T10" s="2" t="s">
        <v>180</v>
      </c>
      <c r="U10" s="2" t="s">
        <v>181</v>
      </c>
      <c r="V10" s="2" t="s">
        <v>180</v>
      </c>
      <c r="W10" s="2" t="s">
        <v>181</v>
      </c>
      <c r="X10" s="2" t="s">
        <v>180</v>
      </c>
      <c r="Y10" s="2" t="s">
        <v>181</v>
      </c>
      <c r="Z10" s="2" t="s">
        <v>180</v>
      </c>
      <c r="AA10" s="2" t="s">
        <v>181</v>
      </c>
      <c r="AB10" s="2" t="s">
        <v>180</v>
      </c>
      <c r="AC10" s="2" t="s">
        <v>181</v>
      </c>
      <c r="AD10" s="2" t="s">
        <v>180</v>
      </c>
      <c r="AE10" s="2" t="s">
        <v>181</v>
      </c>
      <c r="AF10" s="2" t="s">
        <v>180</v>
      </c>
      <c r="AG10" s="2" t="s">
        <v>181</v>
      </c>
      <c r="AH10" s="2" t="s">
        <v>180</v>
      </c>
      <c r="AI10" s="2" t="s">
        <v>181</v>
      </c>
      <c r="AJ10" s="2" t="s">
        <v>180</v>
      </c>
      <c r="AK10" s="2" t="s">
        <v>181</v>
      </c>
      <c r="AL10" s="2" t="s">
        <v>180</v>
      </c>
      <c r="AM10" s="2" t="s">
        <v>181</v>
      </c>
    </row>
    <row r="11" spans="1:39" x14ac:dyDescent="0.4">
      <c r="A11">
        <f>名簿!B11</f>
        <v>10010001</v>
      </c>
      <c r="B11" t="str">
        <f>名簿!C11</f>
        <v>田中</v>
      </c>
      <c r="C11" t="str">
        <f>名簿!D11</f>
        <v>雄介</v>
      </c>
      <c r="D11">
        <v>83.9</v>
      </c>
      <c r="E11" t="s">
        <v>187</v>
      </c>
    </row>
    <row r="12" spans="1:39" x14ac:dyDescent="0.4">
      <c r="A12">
        <f>名簿!B12</f>
        <v>10010002</v>
      </c>
      <c r="B12" t="str">
        <f>名簿!C12</f>
        <v>佐藤</v>
      </c>
      <c r="C12" t="str">
        <f>名簿!D12</f>
        <v>凛</v>
      </c>
      <c r="D12">
        <v>84.6</v>
      </c>
      <c r="E12" t="s">
        <v>187</v>
      </c>
    </row>
    <row r="13" spans="1:39" x14ac:dyDescent="0.4">
      <c r="A13">
        <f>名簿!B13</f>
        <v>10010003</v>
      </c>
      <c r="B13" t="str">
        <f>名簿!C13</f>
        <v>鈴木</v>
      </c>
      <c r="C13" t="str">
        <f>名簿!D13</f>
        <v>誠</v>
      </c>
      <c r="D13">
        <v>84.5</v>
      </c>
      <c r="E13" t="s">
        <v>187</v>
      </c>
    </row>
    <row r="14" spans="1:39" x14ac:dyDescent="0.4">
      <c r="A14">
        <f>名簿!B14</f>
        <v>10010004</v>
      </c>
      <c r="B14" t="str">
        <f>名簿!C14</f>
        <v>高橋</v>
      </c>
      <c r="C14" t="str">
        <f>名簿!D14</f>
        <v>美優</v>
      </c>
      <c r="D14">
        <v>79.3</v>
      </c>
      <c r="E14" t="s">
        <v>185</v>
      </c>
    </row>
    <row r="15" spans="1:39" x14ac:dyDescent="0.4">
      <c r="A15">
        <f>名簿!B15</f>
        <v>10010005</v>
      </c>
      <c r="B15" t="str">
        <f>名簿!C15</f>
        <v>渡辺</v>
      </c>
      <c r="C15" t="str">
        <f>名簿!D15</f>
        <v>誠</v>
      </c>
      <c r="D15">
        <v>77.7</v>
      </c>
      <c r="E15" t="s">
        <v>185</v>
      </c>
    </row>
    <row r="16" spans="1:39" x14ac:dyDescent="0.4">
      <c r="A16">
        <f>名簿!B16</f>
        <v>10010006</v>
      </c>
      <c r="B16" t="str">
        <f>名簿!C16</f>
        <v>伊藤</v>
      </c>
      <c r="C16" t="str">
        <f>名簿!D16</f>
        <v>凛</v>
      </c>
      <c r="D16">
        <v>85.5</v>
      </c>
      <c r="E16" t="s">
        <v>187</v>
      </c>
    </row>
    <row r="17" spans="1:5" x14ac:dyDescent="0.4">
      <c r="A17">
        <f>名簿!B17</f>
        <v>10010007</v>
      </c>
      <c r="B17" t="str">
        <f>名簿!C17</f>
        <v>山本</v>
      </c>
      <c r="C17" t="str">
        <f>名簿!D17</f>
        <v>太郎</v>
      </c>
      <c r="D17">
        <v>76.3</v>
      </c>
      <c r="E17" t="s">
        <v>185</v>
      </c>
    </row>
    <row r="18" spans="1:5" x14ac:dyDescent="0.4">
      <c r="A18">
        <f>名簿!B18</f>
        <v>10010008</v>
      </c>
      <c r="B18" t="str">
        <f>名簿!C18</f>
        <v>中村</v>
      </c>
      <c r="C18" t="str">
        <f>名簿!D18</f>
        <v>真央</v>
      </c>
      <c r="D18">
        <v>85</v>
      </c>
      <c r="E18" t="s">
        <v>187</v>
      </c>
    </row>
    <row r="19" spans="1:5" x14ac:dyDescent="0.4">
      <c r="A19">
        <f>名簿!B19</f>
        <v>10010009</v>
      </c>
      <c r="B19" t="str">
        <f>名簿!C19</f>
        <v>小林</v>
      </c>
      <c r="C19" t="str">
        <f>名簿!D19</f>
        <v>浩</v>
      </c>
      <c r="D19">
        <v>82.5</v>
      </c>
      <c r="E19" t="s">
        <v>187</v>
      </c>
    </row>
    <row r="20" spans="1:5" x14ac:dyDescent="0.4">
      <c r="A20">
        <f>名簿!B20</f>
        <v>10010010</v>
      </c>
      <c r="B20" t="str">
        <f>名簿!C20</f>
        <v>加藤</v>
      </c>
      <c r="C20" t="str">
        <f>名簿!D20</f>
        <v>さくら</v>
      </c>
      <c r="D20">
        <v>82</v>
      </c>
      <c r="E20" t="s">
        <v>187</v>
      </c>
    </row>
    <row r="21" spans="1:5" x14ac:dyDescent="0.4">
      <c r="A21">
        <f>名簿!B21</f>
        <v>10010011</v>
      </c>
      <c r="B21" t="str">
        <f>名簿!C21</f>
        <v>吉田</v>
      </c>
      <c r="C21" t="str">
        <f>名簿!D21</f>
        <v>亮</v>
      </c>
      <c r="D21">
        <v>79.3</v>
      </c>
      <c r="E21" t="s">
        <v>185</v>
      </c>
    </row>
    <row r="22" spans="1:5" x14ac:dyDescent="0.4">
      <c r="A22">
        <f>名簿!B22</f>
        <v>10010012</v>
      </c>
      <c r="B22" t="str">
        <f>名簿!C22</f>
        <v>山田</v>
      </c>
      <c r="C22" t="str">
        <f>名簿!D22</f>
        <v>愛</v>
      </c>
      <c r="D22">
        <v>80.7</v>
      </c>
      <c r="E22" t="s">
        <v>187</v>
      </c>
    </row>
    <row r="23" spans="1:5" x14ac:dyDescent="0.4">
      <c r="A23">
        <f>名簿!B23</f>
        <v>10010013</v>
      </c>
      <c r="B23" t="str">
        <f>名簿!C23</f>
        <v>佐々木</v>
      </c>
      <c r="C23" t="str">
        <f>名簿!D23</f>
        <v>浩</v>
      </c>
      <c r="D23">
        <v>80.5</v>
      </c>
      <c r="E23" t="s">
        <v>187</v>
      </c>
    </row>
    <row r="24" spans="1:5" x14ac:dyDescent="0.4">
      <c r="A24">
        <f>名簿!B24</f>
        <v>10010014</v>
      </c>
      <c r="B24" t="str">
        <f>名簿!C24</f>
        <v>山口</v>
      </c>
      <c r="C24" t="str">
        <f>名簿!D24</f>
        <v>結衣</v>
      </c>
      <c r="D24">
        <v>65.2</v>
      </c>
      <c r="E24" t="s">
        <v>186</v>
      </c>
    </row>
    <row r="25" spans="1:5" x14ac:dyDescent="0.4">
      <c r="A25">
        <f>名簿!B25</f>
        <v>10010015</v>
      </c>
      <c r="B25" t="str">
        <f>名簿!C25</f>
        <v>松本</v>
      </c>
      <c r="C25" t="str">
        <f>名簿!D25</f>
        <v>浩</v>
      </c>
      <c r="D25">
        <v>83.8</v>
      </c>
      <c r="E25" t="s">
        <v>187</v>
      </c>
    </row>
    <row r="26" spans="1:5" x14ac:dyDescent="0.4">
      <c r="A26">
        <f>名簿!B26</f>
        <v>10010016</v>
      </c>
      <c r="B26" t="str">
        <f>名簿!C26</f>
        <v>井上</v>
      </c>
      <c r="C26" t="str">
        <f>名簿!D26</f>
        <v>結衣</v>
      </c>
      <c r="D26">
        <v>81.400000000000006</v>
      </c>
      <c r="E26" t="s">
        <v>187</v>
      </c>
    </row>
    <row r="27" spans="1:5" x14ac:dyDescent="0.4">
      <c r="A27">
        <f>名簿!B27</f>
        <v>10010017</v>
      </c>
      <c r="B27" t="str">
        <f>名簿!C27</f>
        <v>木村</v>
      </c>
      <c r="C27" t="str">
        <f>名簿!D27</f>
        <v>学</v>
      </c>
      <c r="D27">
        <v>85</v>
      </c>
      <c r="E27" t="s">
        <v>187</v>
      </c>
    </row>
    <row r="28" spans="1:5" x14ac:dyDescent="0.4">
      <c r="A28">
        <f>名簿!B28</f>
        <v>10010018</v>
      </c>
      <c r="B28" t="str">
        <f>名簿!C28</f>
        <v>林</v>
      </c>
      <c r="C28" t="str">
        <f>名簿!D28</f>
        <v>凛</v>
      </c>
      <c r="D28">
        <v>86.8</v>
      </c>
      <c r="E28" t="s">
        <v>187</v>
      </c>
    </row>
    <row r="29" spans="1:5" x14ac:dyDescent="0.4">
      <c r="A29">
        <f>名簿!B29</f>
        <v>10010019</v>
      </c>
      <c r="B29" t="str">
        <f>名簿!C29</f>
        <v>斎藤</v>
      </c>
      <c r="C29" t="str">
        <f>名簿!D29</f>
        <v>翔太</v>
      </c>
      <c r="D29">
        <v>77.099999999999994</v>
      </c>
      <c r="E29" t="s">
        <v>185</v>
      </c>
    </row>
    <row r="30" spans="1:5" x14ac:dyDescent="0.4">
      <c r="A30">
        <f>名簿!B30</f>
        <v>10010020</v>
      </c>
      <c r="B30" t="str">
        <f>名簿!C30</f>
        <v>清水</v>
      </c>
      <c r="C30" t="str">
        <f>名簿!D30</f>
        <v>結衣</v>
      </c>
      <c r="D30">
        <v>77.3</v>
      </c>
      <c r="E30" t="s">
        <v>185</v>
      </c>
    </row>
    <row r="31" spans="1:5" x14ac:dyDescent="0.4">
      <c r="A31">
        <f>名簿!B31</f>
        <v>10010021</v>
      </c>
      <c r="B31" t="str">
        <f>名簿!C31</f>
        <v>山崎</v>
      </c>
      <c r="C31" t="str">
        <f>名簿!D31</f>
        <v>一郎</v>
      </c>
      <c r="D31">
        <v>75.400000000000006</v>
      </c>
      <c r="E31" t="s">
        <v>185</v>
      </c>
    </row>
    <row r="32" spans="1:5" x14ac:dyDescent="0.4">
      <c r="A32">
        <f>名簿!B32</f>
        <v>10010022</v>
      </c>
      <c r="B32" t="str">
        <f>名簿!C32</f>
        <v>森</v>
      </c>
      <c r="C32" t="str">
        <f>名簿!D32</f>
        <v>凛</v>
      </c>
      <c r="D32">
        <v>82.5</v>
      </c>
      <c r="E32" t="s">
        <v>187</v>
      </c>
    </row>
    <row r="33" spans="1:5" x14ac:dyDescent="0.4">
      <c r="A33">
        <f>名簿!B33</f>
        <v>10010023</v>
      </c>
      <c r="B33" t="str">
        <f>名簿!C33</f>
        <v>池田</v>
      </c>
      <c r="C33" t="str">
        <f>名簿!D33</f>
        <v>直樹</v>
      </c>
      <c r="D33">
        <v>78.900000000000006</v>
      </c>
      <c r="E33" t="s">
        <v>185</v>
      </c>
    </row>
    <row r="34" spans="1:5" x14ac:dyDescent="0.4">
      <c r="A34">
        <f>名簿!B34</f>
        <v>10010024</v>
      </c>
      <c r="B34" t="str">
        <f>名簿!C34</f>
        <v>橋本</v>
      </c>
      <c r="C34" t="str">
        <f>名簿!D34</f>
        <v>愛</v>
      </c>
      <c r="D34">
        <v>83.8</v>
      </c>
      <c r="E34" t="s">
        <v>187</v>
      </c>
    </row>
    <row r="35" spans="1:5" x14ac:dyDescent="0.4">
      <c r="A35">
        <f>名簿!B35</f>
        <v>10010025</v>
      </c>
      <c r="B35" t="str">
        <f>名簿!C35</f>
        <v>阿部</v>
      </c>
      <c r="C35" t="str">
        <f>名簿!D35</f>
        <v>健太</v>
      </c>
      <c r="D35">
        <v>80.900000000000006</v>
      </c>
      <c r="E35" t="s">
        <v>187</v>
      </c>
    </row>
    <row r="36" spans="1:5" x14ac:dyDescent="0.4">
      <c r="A36">
        <f>名簿!B36</f>
        <v>10010026</v>
      </c>
      <c r="B36" t="str">
        <f>名簿!C36</f>
        <v>石川</v>
      </c>
      <c r="C36" t="str">
        <f>名簿!D36</f>
        <v>陽菜</v>
      </c>
      <c r="D36">
        <v>75.400000000000006</v>
      </c>
      <c r="E36" t="s">
        <v>185</v>
      </c>
    </row>
    <row r="37" spans="1:5" x14ac:dyDescent="0.4">
      <c r="A37">
        <f>名簿!B37</f>
        <v>10010027</v>
      </c>
      <c r="B37" t="str">
        <f>名簿!C37</f>
        <v>山下</v>
      </c>
      <c r="C37" t="str">
        <f>名簿!D37</f>
        <v>学</v>
      </c>
      <c r="D37">
        <v>81.3</v>
      </c>
      <c r="E37" t="s">
        <v>187</v>
      </c>
    </row>
    <row r="38" spans="1:5" x14ac:dyDescent="0.4">
      <c r="A38">
        <f>名簿!B38</f>
        <v>10010028</v>
      </c>
      <c r="B38" t="str">
        <f>名簿!C38</f>
        <v>中島</v>
      </c>
      <c r="C38" t="str">
        <f>名簿!D38</f>
        <v>凛</v>
      </c>
      <c r="D38">
        <v>77.099999999999994</v>
      </c>
      <c r="E38" t="s">
        <v>185</v>
      </c>
    </row>
    <row r="39" spans="1:5" x14ac:dyDescent="0.4">
      <c r="A39">
        <f>名簿!B39</f>
        <v>10010029</v>
      </c>
      <c r="B39" t="str">
        <f>名簿!C39</f>
        <v>石井</v>
      </c>
      <c r="C39" t="str">
        <f>名簿!D39</f>
        <v>健太</v>
      </c>
      <c r="D39">
        <v>79.099999999999994</v>
      </c>
      <c r="E39" t="s">
        <v>185</v>
      </c>
    </row>
    <row r="40" spans="1:5" x14ac:dyDescent="0.4">
      <c r="A40">
        <f>名簿!B40</f>
        <v>10010030</v>
      </c>
      <c r="B40" t="str">
        <f>名簿!C40</f>
        <v>小川</v>
      </c>
      <c r="C40" t="str">
        <f>名簿!D40</f>
        <v>楓</v>
      </c>
      <c r="D40">
        <v>83</v>
      </c>
      <c r="E40" t="s">
        <v>187</v>
      </c>
    </row>
    <row r="41" spans="1:5" x14ac:dyDescent="0.4">
      <c r="A41">
        <f>名簿!B41</f>
        <v>0</v>
      </c>
      <c r="B41">
        <f>名簿!C41</f>
        <v>0</v>
      </c>
      <c r="C41">
        <f>名簿!D41</f>
        <v>0</v>
      </c>
    </row>
    <row r="42" spans="1:5" x14ac:dyDescent="0.4">
      <c r="A42">
        <f>名簿!B42</f>
        <v>0</v>
      </c>
      <c r="B42">
        <f>名簿!C42</f>
        <v>0</v>
      </c>
      <c r="C42">
        <f>名簿!D42</f>
        <v>0</v>
      </c>
    </row>
    <row r="43" spans="1:5" x14ac:dyDescent="0.4">
      <c r="A43">
        <f>名簿!B43</f>
        <v>0</v>
      </c>
      <c r="B43">
        <f>名簿!C43</f>
        <v>0</v>
      </c>
      <c r="C43">
        <f>名簿!D43</f>
        <v>0</v>
      </c>
    </row>
    <row r="44" spans="1:5" x14ac:dyDescent="0.4">
      <c r="A44">
        <f>名簿!B44</f>
        <v>0</v>
      </c>
      <c r="B44">
        <f>名簿!C44</f>
        <v>0</v>
      </c>
      <c r="C44">
        <f>名簿!D44</f>
        <v>0</v>
      </c>
    </row>
    <row r="45" spans="1:5" x14ac:dyDescent="0.4">
      <c r="A45">
        <f>名簿!B45</f>
        <v>0</v>
      </c>
      <c r="B45">
        <f>名簿!C45</f>
        <v>0</v>
      </c>
      <c r="C45">
        <f>名簿!D45</f>
        <v>0</v>
      </c>
    </row>
    <row r="46" spans="1:5" x14ac:dyDescent="0.4">
      <c r="A46">
        <f>名簿!B46</f>
        <v>0</v>
      </c>
      <c r="B46">
        <f>名簿!C46</f>
        <v>0</v>
      </c>
      <c r="C46">
        <f>名簿!D46</f>
        <v>0</v>
      </c>
    </row>
    <row r="47" spans="1:5" x14ac:dyDescent="0.4">
      <c r="A47">
        <f>名簿!B47</f>
        <v>0</v>
      </c>
      <c r="B47">
        <f>名簿!C47</f>
        <v>0</v>
      </c>
      <c r="C47">
        <f>名簿!D47</f>
        <v>0</v>
      </c>
    </row>
    <row r="48" spans="1:5" x14ac:dyDescent="0.4">
      <c r="A48">
        <f>名簿!B48</f>
        <v>0</v>
      </c>
      <c r="B48">
        <f>名簿!C48</f>
        <v>0</v>
      </c>
      <c r="C48">
        <f>名簿!D48</f>
        <v>0</v>
      </c>
    </row>
    <row r="49" spans="1:3" x14ac:dyDescent="0.4">
      <c r="A49">
        <f>名簿!B49</f>
        <v>0</v>
      </c>
      <c r="B49">
        <f>名簿!C49</f>
        <v>0</v>
      </c>
      <c r="C49">
        <f>名簿!D49</f>
        <v>0</v>
      </c>
    </row>
    <row r="50" spans="1:3" x14ac:dyDescent="0.4">
      <c r="A50">
        <f>名簿!B50</f>
        <v>0</v>
      </c>
      <c r="B50">
        <f>名簿!C50</f>
        <v>0</v>
      </c>
      <c r="C50">
        <f>名簿!D50</f>
        <v>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BBE900-92EC-4A01-9DE3-58AE328F48F8}">
  <sheetPr codeName="sh_individual"/>
  <dimension ref="A1:U56"/>
  <sheetViews>
    <sheetView workbookViewId="0">
      <selection activeCell="C13" sqref="C13"/>
    </sheetView>
  </sheetViews>
  <sheetFormatPr defaultRowHeight="18.75" x14ac:dyDescent="0.4"/>
  <cols>
    <col min="2" max="2" width="10.5" customWidth="1"/>
    <col min="3" max="4" width="9" customWidth="1"/>
    <col min="6" max="6" width="5.75" customWidth="1"/>
    <col min="7" max="7" width="7.125" customWidth="1"/>
    <col min="8" max="8" width="8.125" customWidth="1"/>
    <col min="11" max="11" width="5.75" customWidth="1"/>
    <col min="12" max="12" width="7" customWidth="1"/>
    <col min="13" max="13" width="17" customWidth="1"/>
    <col min="14" max="14" width="9.5" customWidth="1"/>
    <col min="16" max="16" width="10.25" customWidth="1"/>
    <col min="17" max="17" width="11.75" customWidth="1"/>
  </cols>
  <sheetData>
    <row r="1" spans="1:21" ht="30.75" thickBot="1" x14ac:dyDescent="0.45">
      <c r="A1" s="9" t="s">
        <v>35</v>
      </c>
      <c r="C1" s="142" t="s">
        <v>47</v>
      </c>
      <c r="D1" s="143"/>
      <c r="E1" s="143"/>
      <c r="F1" s="144"/>
      <c r="H1" s="142" t="s">
        <v>48</v>
      </c>
      <c r="I1" s="143"/>
      <c r="J1" s="143"/>
      <c r="K1" s="144"/>
      <c r="M1" s="63" t="s">
        <v>49</v>
      </c>
      <c r="N1" s="64" t="str">
        <f>IF(F14=K14,"有効","無効")</f>
        <v>有効</v>
      </c>
      <c r="O1" s="64"/>
      <c r="P1" s="64"/>
      <c r="Q1" s="65"/>
    </row>
    <row r="2" spans="1:21" x14ac:dyDescent="0.4">
      <c r="C2" s="8" t="s">
        <v>12</v>
      </c>
      <c r="D2" s="8">
        <f>F4</f>
        <v>17.5</v>
      </c>
      <c r="E2" s="7" t="s">
        <v>37</v>
      </c>
      <c r="F2" s="8">
        <f>MIN(F15:F54)</f>
        <v>0</v>
      </c>
      <c r="H2" s="8" t="s">
        <v>12</v>
      </c>
      <c r="I2" s="8">
        <f>K4</f>
        <v>45</v>
      </c>
      <c r="J2" s="7" t="s">
        <v>37</v>
      </c>
      <c r="K2" s="8">
        <f>MIN(K15:K54)</f>
        <v>0</v>
      </c>
      <c r="M2" s="58" t="s">
        <v>50</v>
      </c>
      <c r="N2">
        <f>_xlfn.COVARIANCE.P(F15:F54,K15:K54)</f>
        <v>1159.7987499999992</v>
      </c>
      <c r="P2" s="66" t="s">
        <v>53</v>
      </c>
      <c r="Q2" s="57" t="str">
        <f>IF(N6&lt;0.05,"有意差あり","有意差なし")</f>
        <v>有意差あり</v>
      </c>
    </row>
    <row r="3" spans="1:21" ht="19.5" thickBot="1" x14ac:dyDescent="0.45">
      <c r="C3" s="3" t="s">
        <v>11</v>
      </c>
      <c r="D3" s="3">
        <f>AVERAGE(F15:F54)</f>
        <v>32.975000000000001</v>
      </c>
      <c r="E3" s="10" t="s">
        <v>39</v>
      </c>
      <c r="F3" s="3">
        <f>_xlfn.QUARTILE.EXC($F$15:$F$54,1)</f>
        <v>0</v>
      </c>
      <c r="H3" s="3" t="s">
        <v>11</v>
      </c>
      <c r="I3" s="3">
        <f>AVERAGE(K15:K54)</f>
        <v>41.95</v>
      </c>
      <c r="J3" s="10" t="s">
        <v>39</v>
      </c>
      <c r="K3" s="3">
        <f>_xlfn.QUARTILE.EXC($K$15:$K$54,1)</f>
        <v>0</v>
      </c>
      <c r="M3" s="58" t="s">
        <v>51</v>
      </c>
      <c r="N3">
        <f>N2/(D4*I4)</f>
        <v>0.88366172557384182</v>
      </c>
      <c r="P3" s="60" t="s">
        <v>54</v>
      </c>
      <c r="Q3" s="62" t="str">
        <f>IF(N6&lt;0.01,"有意差あり","有意差なし")</f>
        <v>有意差あり</v>
      </c>
    </row>
    <row r="4" spans="1:21" x14ac:dyDescent="0.4">
      <c r="C4" s="3" t="s">
        <v>13</v>
      </c>
      <c r="D4" s="3">
        <f>_xlfn.STDEV.P(F15:F54)</f>
        <v>35.448192831229072</v>
      </c>
      <c r="E4" s="10" t="s">
        <v>40</v>
      </c>
      <c r="F4" s="3">
        <f>_xlfn.QUARTILE.EXC($F$15:$F$54,2)</f>
        <v>17.5</v>
      </c>
      <c r="H4" s="3" t="s">
        <v>13</v>
      </c>
      <c r="I4" s="3">
        <f>_xlfn.STDEV.P(K15:K54)</f>
        <v>37.025633012819647</v>
      </c>
      <c r="J4" s="10" t="s">
        <v>40</v>
      </c>
      <c r="K4" s="3">
        <f>_xlfn.QUARTILE.EXC($K$15:$K$54,2)</f>
        <v>45</v>
      </c>
      <c r="M4" s="58" t="s">
        <v>56</v>
      </c>
      <c r="N4">
        <f>COUNTA(B15:B54)-1</f>
        <v>39</v>
      </c>
      <c r="Q4" s="59"/>
    </row>
    <row r="5" spans="1:21" x14ac:dyDescent="0.4">
      <c r="C5" s="3" t="s">
        <v>23</v>
      </c>
      <c r="D5" s="3">
        <f>D4/D3</f>
        <v>1.0750020570501613</v>
      </c>
      <c r="E5" s="10" t="s">
        <v>41</v>
      </c>
      <c r="F5" s="3">
        <f>_xlfn.QUARTILE.EXC($F$15:$F$54,3)</f>
        <v>67</v>
      </c>
      <c r="H5" s="3" t="s">
        <v>23</v>
      </c>
      <c r="I5" s="3">
        <f>I4/I3</f>
        <v>0.88261342104456841</v>
      </c>
      <c r="J5" s="10" t="s">
        <v>41</v>
      </c>
      <c r="K5" s="3">
        <f>_xlfn.QUARTILE.EXC($K$15:$K$54,3)</f>
        <v>76</v>
      </c>
      <c r="M5" s="58" t="s">
        <v>57</v>
      </c>
      <c r="N5">
        <f>ABS(M56/SQRT(M55/COUNTA(B15:B54)))</f>
        <v>3.2350252987094335</v>
      </c>
      <c r="Q5" s="59"/>
    </row>
    <row r="6" spans="1:21" ht="19.5" thickBot="1" x14ac:dyDescent="0.45">
      <c r="D6" s="12"/>
      <c r="E6" s="10" t="s">
        <v>36</v>
      </c>
      <c r="F6" s="3">
        <f>MAX($F$15:$F$54)</f>
        <v>100</v>
      </c>
      <c r="I6" s="11"/>
      <c r="J6" s="3" t="s">
        <v>36</v>
      </c>
      <c r="K6" s="3">
        <f>MAX($K$15:$K$54)</f>
        <v>100</v>
      </c>
      <c r="M6" s="60" t="s">
        <v>52</v>
      </c>
      <c r="N6" s="61">
        <f>_xlfn.T.TEST(F15:F54,K15:K54,2,1)</f>
        <v>2.7736010018601042E-3</v>
      </c>
      <c r="O6" s="61">
        <f>_xlfn.T.DIST.2T(N5,COUNTA(B15:B54)-1)</f>
        <v>2.4803688731048616E-3</v>
      </c>
      <c r="P6" s="61" t="s">
        <v>60</v>
      </c>
      <c r="Q6" s="62"/>
    </row>
    <row r="7" spans="1:21" ht="2.25" customHeight="1" x14ac:dyDescent="0.4"/>
    <row r="8" spans="1:21" ht="21" customHeight="1" x14ac:dyDescent="0.4">
      <c r="C8" s="140" t="s">
        <v>42</v>
      </c>
      <c r="D8" s="140"/>
      <c r="E8" s="140"/>
      <c r="F8" s="24" t="s">
        <v>43</v>
      </c>
      <c r="G8" s="37" t="s">
        <v>45</v>
      </c>
      <c r="H8" s="141" t="s">
        <v>46</v>
      </c>
      <c r="I8" s="141"/>
      <c r="J8" s="141"/>
      <c r="K8" s="41" t="s">
        <v>44</v>
      </c>
      <c r="L8" s="42" t="s">
        <v>45</v>
      </c>
    </row>
    <row r="9" spans="1:21" ht="21" customHeight="1" x14ac:dyDescent="0.4">
      <c r="B9" s="3" t="s">
        <v>38</v>
      </c>
      <c r="C9" s="13" t="s">
        <v>32</v>
      </c>
      <c r="D9" s="13"/>
      <c r="E9" s="21"/>
      <c r="F9" s="29"/>
      <c r="G9" s="24"/>
      <c r="H9" s="34" t="s">
        <v>33</v>
      </c>
      <c r="I9" s="15"/>
      <c r="J9" s="38"/>
      <c r="K9" s="41"/>
      <c r="L9" s="41"/>
    </row>
    <row r="10" spans="1:21" ht="21" customHeight="1" x14ac:dyDescent="0.4">
      <c r="B10" s="3" t="s">
        <v>4</v>
      </c>
      <c r="C10" s="17">
        <v>45749</v>
      </c>
      <c r="D10" s="17"/>
      <c r="E10" s="22"/>
      <c r="F10" s="30"/>
      <c r="G10" s="26"/>
      <c r="H10" s="35">
        <v>45896</v>
      </c>
      <c r="I10" s="18"/>
      <c r="J10" s="39"/>
      <c r="K10" s="44"/>
      <c r="L10" s="44"/>
      <c r="M10" s="2"/>
      <c r="N10" s="2"/>
      <c r="O10" s="2"/>
      <c r="P10" s="2"/>
      <c r="Q10" s="2"/>
      <c r="R10" s="2"/>
      <c r="S10" s="2"/>
      <c r="T10" s="2"/>
      <c r="U10" s="2"/>
    </row>
    <row r="11" spans="1:21" ht="21" customHeight="1" x14ac:dyDescent="0.4">
      <c r="B11" s="3" t="s">
        <v>0</v>
      </c>
      <c r="C11" s="13" t="s">
        <v>29</v>
      </c>
      <c r="D11" s="13"/>
      <c r="E11" s="21"/>
      <c r="F11" s="31"/>
      <c r="G11" s="27"/>
      <c r="H11" s="34" t="s">
        <v>29</v>
      </c>
      <c r="I11" s="15"/>
      <c r="J11" s="38"/>
      <c r="K11" s="45"/>
      <c r="L11" s="45"/>
    </row>
    <row r="12" spans="1:21" ht="21" customHeight="1" x14ac:dyDescent="0.4">
      <c r="B12" s="3" t="s">
        <v>1</v>
      </c>
      <c r="C12" s="19" t="s">
        <v>107</v>
      </c>
      <c r="D12" s="19"/>
      <c r="E12" s="23"/>
      <c r="F12" s="32"/>
      <c r="G12" s="28"/>
      <c r="H12" s="36" t="s">
        <v>108</v>
      </c>
      <c r="I12" s="20"/>
      <c r="J12" s="40"/>
      <c r="K12" s="46"/>
      <c r="L12" s="46"/>
    </row>
    <row r="13" spans="1:21" ht="21" customHeight="1" x14ac:dyDescent="0.4">
      <c r="B13" s="3" t="s">
        <v>2</v>
      </c>
      <c r="C13" s="13">
        <v>100</v>
      </c>
      <c r="D13" s="13"/>
      <c r="E13" s="21"/>
      <c r="F13" s="33"/>
      <c r="G13" s="25"/>
      <c r="H13" s="34" t="s">
        <v>30</v>
      </c>
      <c r="I13" s="15"/>
      <c r="J13" s="38"/>
      <c r="K13" s="43"/>
      <c r="L13" s="43"/>
    </row>
    <row r="14" spans="1:21" ht="19.5" thickBot="1" x14ac:dyDescent="0.45">
      <c r="B14" s="5" t="s">
        <v>3</v>
      </c>
      <c r="C14" s="37">
        <v>100</v>
      </c>
      <c r="D14" s="37"/>
      <c r="E14" s="37"/>
      <c r="F14" s="27">
        <f>E14+D14+C14</f>
        <v>100</v>
      </c>
      <c r="G14" s="24">
        <f t="shared" ref="G14:G54" si="0">ROUND((F14-$D$3)*10/$D$4+50,0)</f>
        <v>69</v>
      </c>
      <c r="H14" s="42">
        <v>100</v>
      </c>
      <c r="I14" s="42"/>
      <c r="J14" s="42"/>
      <c r="K14" s="45">
        <f>J14+I14+H14</f>
        <v>100</v>
      </c>
      <c r="L14" s="45">
        <f>ROUND((K14-$I$3)*10/$I$4+50,0)</f>
        <v>66</v>
      </c>
      <c r="M14" s="2" t="s">
        <v>58</v>
      </c>
      <c r="N14" s="2"/>
      <c r="O14" s="2"/>
      <c r="P14" s="2"/>
      <c r="Q14" s="2"/>
      <c r="R14" s="2"/>
      <c r="S14" s="2"/>
    </row>
    <row r="15" spans="1:21" x14ac:dyDescent="0.4">
      <c r="B15" s="47" t="str">
        <f>IF(Subject!C23="","",Subject!B23 &amp; Subject!C23)</f>
        <v>田中雄介</v>
      </c>
      <c r="C15" s="48">
        <v>12</v>
      </c>
      <c r="D15" s="48"/>
      <c r="E15" s="48"/>
      <c r="F15" s="48">
        <f>E15+D15+C15</f>
        <v>12</v>
      </c>
      <c r="G15" s="48">
        <f t="shared" si="0"/>
        <v>44</v>
      </c>
      <c r="H15" s="49">
        <v>64</v>
      </c>
      <c r="I15" s="49"/>
      <c r="J15" s="49"/>
      <c r="K15" s="49">
        <f>J15+I15+H15</f>
        <v>64</v>
      </c>
      <c r="L15" s="50">
        <f t="shared" ref="L15:L54" si="1">ROUND((K15-$I$3)*10/$I$4+50,0)</f>
        <v>56</v>
      </c>
      <c r="M15">
        <f>F15-K15</f>
        <v>-52</v>
      </c>
    </row>
    <row r="16" spans="1:21" x14ac:dyDescent="0.4">
      <c r="B16" s="51" t="str">
        <f>IF(Subject!C24="","",Subject!B24 &amp; Subject!C24)</f>
        <v>佐藤凛</v>
      </c>
      <c r="C16" s="14">
        <v>75</v>
      </c>
      <c r="D16" s="14"/>
      <c r="E16" s="14"/>
      <c r="F16" s="14">
        <f t="shared" ref="F16:F54" si="2">E16+D16+C16</f>
        <v>75</v>
      </c>
      <c r="G16" s="14">
        <f t="shared" si="0"/>
        <v>62</v>
      </c>
      <c r="H16" s="16">
        <v>94</v>
      </c>
      <c r="I16" s="16"/>
      <c r="J16" s="16"/>
      <c r="K16" s="16">
        <f>J16+I16+H16</f>
        <v>94</v>
      </c>
      <c r="L16" s="52">
        <f t="shared" si="1"/>
        <v>64</v>
      </c>
      <c r="M16">
        <f t="shared" ref="M16:M54" si="3">F16-K16</f>
        <v>-19</v>
      </c>
    </row>
    <row r="17" spans="2:13" x14ac:dyDescent="0.4">
      <c r="B17" s="51" t="str">
        <f>IF(Subject!C25="","",Subject!B25 &amp; Subject!C25)</f>
        <v>鈴木誠</v>
      </c>
      <c r="C17" s="14">
        <v>14</v>
      </c>
      <c r="D17" s="14"/>
      <c r="E17" s="14"/>
      <c r="F17" s="14">
        <f t="shared" si="2"/>
        <v>14</v>
      </c>
      <c r="G17" s="14">
        <f t="shared" si="0"/>
        <v>45</v>
      </c>
      <c r="H17" s="16">
        <v>76</v>
      </c>
      <c r="I17" s="16"/>
      <c r="J17" s="16"/>
      <c r="K17" s="16">
        <f t="shared" ref="K17:K54" si="4">J17+I17+H17</f>
        <v>76</v>
      </c>
      <c r="L17" s="52">
        <f t="shared" si="1"/>
        <v>59</v>
      </c>
      <c r="M17">
        <f t="shared" si="3"/>
        <v>-62</v>
      </c>
    </row>
    <row r="18" spans="2:13" x14ac:dyDescent="0.4">
      <c r="B18" s="51" t="str">
        <f>IF(Subject!C26="","",Subject!B26 &amp; Subject!C26)</f>
        <v>高橋美優</v>
      </c>
      <c r="C18" s="14">
        <v>4</v>
      </c>
      <c r="D18" s="14"/>
      <c r="E18" s="14"/>
      <c r="F18" s="14">
        <f t="shared" si="2"/>
        <v>4</v>
      </c>
      <c r="G18" s="14">
        <f t="shared" si="0"/>
        <v>42</v>
      </c>
      <c r="H18" s="16">
        <v>20</v>
      </c>
      <c r="I18" s="16"/>
      <c r="J18" s="16"/>
      <c r="K18" s="16">
        <f t="shared" si="4"/>
        <v>20</v>
      </c>
      <c r="L18" s="52">
        <f t="shared" si="1"/>
        <v>44</v>
      </c>
      <c r="M18">
        <f t="shared" si="3"/>
        <v>-16</v>
      </c>
    </row>
    <row r="19" spans="2:13" x14ac:dyDescent="0.4">
      <c r="B19" s="51" t="str">
        <f>IF(Subject!C27="","",Subject!B27 &amp; Subject!C27)</f>
        <v>渡辺誠</v>
      </c>
      <c r="C19" s="14">
        <v>76</v>
      </c>
      <c r="D19" s="14"/>
      <c r="E19" s="14"/>
      <c r="F19" s="14">
        <f t="shared" si="2"/>
        <v>76</v>
      </c>
      <c r="G19" s="14">
        <f t="shared" si="0"/>
        <v>62</v>
      </c>
      <c r="H19" s="16">
        <v>86</v>
      </c>
      <c r="I19" s="16"/>
      <c r="J19" s="16"/>
      <c r="K19" s="16">
        <f t="shared" si="4"/>
        <v>86</v>
      </c>
      <c r="L19" s="52">
        <f t="shared" si="1"/>
        <v>62</v>
      </c>
      <c r="M19">
        <f t="shared" si="3"/>
        <v>-10</v>
      </c>
    </row>
    <row r="20" spans="2:13" x14ac:dyDescent="0.4">
      <c r="B20" s="51" t="str">
        <f>IF(Subject!C28="","",Subject!B28 &amp; Subject!C28)</f>
        <v>伊藤凛</v>
      </c>
      <c r="C20" s="14">
        <v>8</v>
      </c>
      <c r="D20" s="14"/>
      <c r="E20" s="14"/>
      <c r="F20" s="14">
        <f t="shared" si="2"/>
        <v>8</v>
      </c>
      <c r="G20" s="14">
        <f t="shared" si="0"/>
        <v>43</v>
      </c>
      <c r="H20" s="16">
        <v>44</v>
      </c>
      <c r="I20" s="16"/>
      <c r="J20" s="16"/>
      <c r="K20" s="16">
        <f t="shared" si="4"/>
        <v>44</v>
      </c>
      <c r="L20" s="52">
        <f t="shared" si="1"/>
        <v>51</v>
      </c>
      <c r="M20">
        <f t="shared" si="3"/>
        <v>-36</v>
      </c>
    </row>
    <row r="21" spans="2:13" x14ac:dyDescent="0.4">
      <c r="B21" s="51" t="str">
        <f>IF(Subject!C29="","",Subject!B29 &amp; Subject!C29)</f>
        <v>山本太郎</v>
      </c>
      <c r="C21" s="14">
        <v>87</v>
      </c>
      <c r="D21" s="14"/>
      <c r="E21" s="14"/>
      <c r="F21" s="14">
        <f t="shared" si="2"/>
        <v>87</v>
      </c>
      <c r="G21" s="14">
        <f t="shared" si="0"/>
        <v>65</v>
      </c>
      <c r="H21" s="16">
        <v>94</v>
      </c>
      <c r="I21" s="16"/>
      <c r="J21" s="16"/>
      <c r="K21" s="16">
        <f t="shared" si="4"/>
        <v>94</v>
      </c>
      <c r="L21" s="52">
        <f t="shared" si="1"/>
        <v>64</v>
      </c>
      <c r="M21">
        <f t="shared" si="3"/>
        <v>-7</v>
      </c>
    </row>
    <row r="22" spans="2:13" x14ac:dyDescent="0.4">
      <c r="B22" s="51" t="str">
        <f>IF(Subject!C30="","",Subject!B30 &amp; Subject!C30)</f>
        <v>中村真央</v>
      </c>
      <c r="C22" s="14">
        <v>91</v>
      </c>
      <c r="D22" s="14"/>
      <c r="E22" s="14"/>
      <c r="F22" s="14">
        <f t="shared" si="2"/>
        <v>91</v>
      </c>
      <c r="G22" s="14">
        <f t="shared" si="0"/>
        <v>66</v>
      </c>
      <c r="H22" s="16">
        <v>82</v>
      </c>
      <c r="I22" s="16"/>
      <c r="J22" s="16"/>
      <c r="K22" s="16">
        <f t="shared" si="4"/>
        <v>82</v>
      </c>
      <c r="L22" s="52">
        <f t="shared" si="1"/>
        <v>61</v>
      </c>
      <c r="M22">
        <f t="shared" si="3"/>
        <v>9</v>
      </c>
    </row>
    <row r="23" spans="2:13" x14ac:dyDescent="0.4">
      <c r="B23" s="51" t="str">
        <f>IF(Subject!C31="","",Subject!B31 &amp; Subject!C31)</f>
        <v>小林浩</v>
      </c>
      <c r="C23" s="14">
        <v>61</v>
      </c>
      <c r="D23" s="14"/>
      <c r="E23" s="14"/>
      <c r="F23" s="14">
        <f t="shared" si="2"/>
        <v>61</v>
      </c>
      <c r="G23" s="14">
        <f t="shared" si="0"/>
        <v>58</v>
      </c>
      <c r="H23" s="16">
        <v>38</v>
      </c>
      <c r="I23" s="16"/>
      <c r="J23" s="16"/>
      <c r="K23" s="16">
        <f t="shared" si="4"/>
        <v>38</v>
      </c>
      <c r="L23" s="52">
        <f t="shared" si="1"/>
        <v>49</v>
      </c>
      <c r="M23">
        <f t="shared" si="3"/>
        <v>23</v>
      </c>
    </row>
    <row r="24" spans="2:13" x14ac:dyDescent="0.4">
      <c r="B24" s="51" t="str">
        <f>IF(Subject!C32="","",Subject!B32 &amp; Subject!C32)</f>
        <v>加藤さくら</v>
      </c>
      <c r="C24" s="14">
        <v>59</v>
      </c>
      <c r="D24" s="14"/>
      <c r="E24" s="14"/>
      <c r="F24" s="14">
        <f t="shared" si="2"/>
        <v>59</v>
      </c>
      <c r="G24" s="14">
        <f t="shared" si="0"/>
        <v>57</v>
      </c>
      <c r="H24" s="16">
        <v>56</v>
      </c>
      <c r="I24" s="16"/>
      <c r="J24" s="16"/>
      <c r="K24" s="16">
        <f t="shared" si="4"/>
        <v>56</v>
      </c>
      <c r="L24" s="52">
        <f t="shared" si="1"/>
        <v>54</v>
      </c>
      <c r="M24">
        <f t="shared" si="3"/>
        <v>3</v>
      </c>
    </row>
    <row r="25" spans="2:13" x14ac:dyDescent="0.4">
      <c r="B25" s="51" t="str">
        <f>IF(Subject!C33="","",Subject!B33 &amp; Subject!C33)</f>
        <v>吉田亮</v>
      </c>
      <c r="C25" s="14">
        <v>14</v>
      </c>
      <c r="D25" s="14"/>
      <c r="E25" s="14"/>
      <c r="F25" s="14">
        <f t="shared" si="2"/>
        <v>14</v>
      </c>
      <c r="G25" s="14">
        <f t="shared" si="0"/>
        <v>45</v>
      </c>
      <c r="H25" s="16">
        <v>36</v>
      </c>
      <c r="I25" s="16"/>
      <c r="J25" s="16"/>
      <c r="K25" s="16">
        <f t="shared" si="4"/>
        <v>36</v>
      </c>
      <c r="L25" s="52">
        <f t="shared" si="1"/>
        <v>48</v>
      </c>
      <c r="M25">
        <f t="shared" si="3"/>
        <v>-22</v>
      </c>
    </row>
    <row r="26" spans="2:13" x14ac:dyDescent="0.4">
      <c r="B26" s="51" t="str">
        <f>IF(Subject!C34="","",Subject!B34 &amp; Subject!C34)</f>
        <v>山田愛</v>
      </c>
      <c r="C26" s="14">
        <v>54</v>
      </c>
      <c r="D26" s="14"/>
      <c r="E26" s="14"/>
      <c r="F26" s="14">
        <f t="shared" si="2"/>
        <v>54</v>
      </c>
      <c r="G26" s="14">
        <f t="shared" si="0"/>
        <v>56</v>
      </c>
      <c r="H26" s="16">
        <v>88</v>
      </c>
      <c r="I26" s="16"/>
      <c r="J26" s="16"/>
      <c r="K26" s="16">
        <f t="shared" si="4"/>
        <v>88</v>
      </c>
      <c r="L26" s="52">
        <f t="shared" si="1"/>
        <v>62</v>
      </c>
      <c r="M26">
        <f t="shared" si="3"/>
        <v>-34</v>
      </c>
    </row>
    <row r="27" spans="2:13" x14ac:dyDescent="0.4">
      <c r="B27" s="51" t="str">
        <f>IF(Subject!C35="","",Subject!B35 &amp; Subject!C35)</f>
        <v>佐々木浩</v>
      </c>
      <c r="C27" s="14">
        <v>21</v>
      </c>
      <c r="D27" s="14"/>
      <c r="E27" s="14"/>
      <c r="F27" s="14">
        <f t="shared" si="2"/>
        <v>21</v>
      </c>
      <c r="G27" s="14">
        <f t="shared" si="0"/>
        <v>47</v>
      </c>
      <c r="H27" s="16">
        <v>56</v>
      </c>
      <c r="I27" s="16"/>
      <c r="J27" s="16"/>
      <c r="K27" s="16">
        <f t="shared" si="4"/>
        <v>56</v>
      </c>
      <c r="L27" s="52">
        <f t="shared" si="1"/>
        <v>54</v>
      </c>
      <c r="M27">
        <f t="shared" si="3"/>
        <v>-35</v>
      </c>
    </row>
    <row r="28" spans="2:13" x14ac:dyDescent="0.4">
      <c r="B28" s="51" t="str">
        <f>IF(Subject!C36="","",Subject!B36 &amp; Subject!C36)</f>
        <v>山口結衣</v>
      </c>
      <c r="C28" s="14">
        <v>77</v>
      </c>
      <c r="D28" s="14"/>
      <c r="E28" s="14"/>
      <c r="F28" s="14">
        <f t="shared" si="2"/>
        <v>77</v>
      </c>
      <c r="G28" s="14">
        <f t="shared" si="0"/>
        <v>62</v>
      </c>
      <c r="H28" s="16">
        <v>74</v>
      </c>
      <c r="I28" s="16"/>
      <c r="J28" s="16"/>
      <c r="K28" s="16">
        <f t="shared" si="4"/>
        <v>74</v>
      </c>
      <c r="L28" s="52">
        <f t="shared" si="1"/>
        <v>59</v>
      </c>
      <c r="M28">
        <f t="shared" si="3"/>
        <v>3</v>
      </c>
    </row>
    <row r="29" spans="2:13" x14ac:dyDescent="0.4">
      <c r="B29" s="51" t="str">
        <f>IF(Subject!C37="","",Subject!B37 &amp; Subject!C37)</f>
        <v>松本浩</v>
      </c>
      <c r="C29" s="14">
        <v>22</v>
      </c>
      <c r="D29" s="14"/>
      <c r="E29" s="14"/>
      <c r="F29" s="14">
        <f t="shared" si="2"/>
        <v>22</v>
      </c>
      <c r="G29" s="14">
        <f t="shared" si="0"/>
        <v>47</v>
      </c>
      <c r="H29" s="16">
        <v>46</v>
      </c>
      <c r="I29" s="16"/>
      <c r="J29" s="16"/>
      <c r="K29" s="16">
        <f t="shared" si="4"/>
        <v>46</v>
      </c>
      <c r="L29" s="52">
        <f t="shared" si="1"/>
        <v>51</v>
      </c>
      <c r="M29">
        <f t="shared" si="3"/>
        <v>-24</v>
      </c>
    </row>
    <row r="30" spans="2:13" x14ac:dyDescent="0.4">
      <c r="B30" s="51" t="str">
        <f>IF(Subject!C38="","",Subject!B38 &amp; Subject!C38)</f>
        <v>井上結衣</v>
      </c>
      <c r="C30" s="14">
        <v>55</v>
      </c>
      <c r="D30" s="14"/>
      <c r="E30" s="14"/>
      <c r="F30" s="14">
        <f t="shared" si="2"/>
        <v>55</v>
      </c>
      <c r="G30" s="14">
        <f t="shared" si="0"/>
        <v>56</v>
      </c>
      <c r="H30" s="16">
        <v>76</v>
      </c>
      <c r="I30" s="16"/>
      <c r="J30" s="16"/>
      <c r="K30" s="16">
        <f t="shared" si="4"/>
        <v>76</v>
      </c>
      <c r="L30" s="52">
        <f t="shared" si="1"/>
        <v>59</v>
      </c>
      <c r="M30">
        <f t="shared" si="3"/>
        <v>-21</v>
      </c>
    </row>
    <row r="31" spans="2:13" x14ac:dyDescent="0.4">
      <c r="B31" s="51" t="str">
        <f>IF(Subject!C39="","",Subject!B39 &amp; Subject!C39)</f>
        <v>木村学</v>
      </c>
      <c r="C31" s="14">
        <v>69</v>
      </c>
      <c r="D31" s="14"/>
      <c r="E31" s="14"/>
      <c r="F31" s="14">
        <f t="shared" si="2"/>
        <v>69</v>
      </c>
      <c r="G31" s="14">
        <f t="shared" si="0"/>
        <v>60</v>
      </c>
      <c r="H31" s="16">
        <v>58</v>
      </c>
      <c r="I31" s="16"/>
      <c r="J31" s="16"/>
      <c r="K31" s="16">
        <f t="shared" si="4"/>
        <v>58</v>
      </c>
      <c r="L31" s="52">
        <f t="shared" si="1"/>
        <v>54</v>
      </c>
      <c r="M31">
        <f t="shared" si="3"/>
        <v>11</v>
      </c>
    </row>
    <row r="32" spans="2:13" x14ac:dyDescent="0.4">
      <c r="B32" s="51" t="str">
        <f>IF(Subject!C40="","",Subject!B40 &amp; Subject!C40)</f>
        <v>林凛</v>
      </c>
      <c r="C32" s="14">
        <v>33</v>
      </c>
      <c r="D32" s="14"/>
      <c r="E32" s="14"/>
      <c r="F32" s="14">
        <f t="shared" si="2"/>
        <v>33</v>
      </c>
      <c r="G32" s="14">
        <f t="shared" si="0"/>
        <v>50</v>
      </c>
      <c r="H32" s="16">
        <v>48</v>
      </c>
      <c r="I32" s="16"/>
      <c r="J32" s="16"/>
      <c r="K32" s="16">
        <f t="shared" si="4"/>
        <v>48</v>
      </c>
      <c r="L32" s="52">
        <f t="shared" si="1"/>
        <v>52</v>
      </c>
      <c r="M32">
        <f t="shared" si="3"/>
        <v>-15</v>
      </c>
    </row>
    <row r="33" spans="2:13" x14ac:dyDescent="0.4">
      <c r="B33" s="51" t="str">
        <f>IF(Subject!C41="","",Subject!B41 &amp; Subject!C41)</f>
        <v>斎藤翔太</v>
      </c>
      <c r="C33" s="14">
        <v>45</v>
      </c>
      <c r="D33" s="14"/>
      <c r="E33" s="14"/>
      <c r="F33" s="14">
        <f t="shared" si="2"/>
        <v>45</v>
      </c>
      <c r="G33" s="14">
        <f t="shared" si="0"/>
        <v>53</v>
      </c>
      <c r="H33" s="16">
        <v>38</v>
      </c>
      <c r="I33" s="16"/>
      <c r="J33" s="16"/>
      <c r="K33" s="16">
        <f t="shared" si="4"/>
        <v>38</v>
      </c>
      <c r="L33" s="52">
        <f t="shared" si="1"/>
        <v>49</v>
      </c>
      <c r="M33">
        <f t="shared" si="3"/>
        <v>7</v>
      </c>
    </row>
    <row r="34" spans="2:13" x14ac:dyDescent="0.4">
      <c r="B34" s="51" t="str">
        <f>IF(Subject!C42="","",Subject!B42 &amp; Subject!C42)</f>
        <v>清水結衣</v>
      </c>
      <c r="C34" s="14">
        <v>100</v>
      </c>
      <c r="D34" s="14"/>
      <c r="E34" s="14"/>
      <c r="F34" s="14">
        <f t="shared" si="2"/>
        <v>100</v>
      </c>
      <c r="G34" s="14">
        <f t="shared" si="0"/>
        <v>69</v>
      </c>
      <c r="H34" s="16">
        <v>100</v>
      </c>
      <c r="I34" s="16"/>
      <c r="J34" s="16"/>
      <c r="K34" s="16">
        <f t="shared" si="4"/>
        <v>100</v>
      </c>
      <c r="L34" s="52">
        <f t="shared" si="1"/>
        <v>66</v>
      </c>
      <c r="M34">
        <f t="shared" si="3"/>
        <v>0</v>
      </c>
    </row>
    <row r="35" spans="2:13" x14ac:dyDescent="0.4">
      <c r="B35" s="51" t="str">
        <f>IF(Subject!C43="","",Subject!B43 &amp; Subject!C43)</f>
        <v>山崎一郎</v>
      </c>
      <c r="C35" s="14">
        <v>28</v>
      </c>
      <c r="D35" s="14"/>
      <c r="E35" s="14"/>
      <c r="F35" s="14">
        <f t="shared" si="2"/>
        <v>28</v>
      </c>
      <c r="G35" s="14">
        <f t="shared" si="0"/>
        <v>49</v>
      </c>
      <c r="H35" s="16">
        <v>54</v>
      </c>
      <c r="I35" s="16"/>
      <c r="J35" s="16"/>
      <c r="K35" s="16">
        <f t="shared" si="4"/>
        <v>54</v>
      </c>
      <c r="L35" s="52">
        <f t="shared" si="1"/>
        <v>53</v>
      </c>
      <c r="M35">
        <f t="shared" si="3"/>
        <v>-26</v>
      </c>
    </row>
    <row r="36" spans="2:13" x14ac:dyDescent="0.4">
      <c r="B36" s="51" t="str">
        <f>IF(Subject!C44="","",Subject!B44 &amp; Subject!C44)</f>
        <v>森凛</v>
      </c>
      <c r="C36" s="14">
        <v>87</v>
      </c>
      <c r="D36" s="14"/>
      <c r="E36" s="14"/>
      <c r="F36" s="14">
        <f t="shared" si="2"/>
        <v>87</v>
      </c>
      <c r="G36" s="14">
        <f t="shared" si="0"/>
        <v>65</v>
      </c>
      <c r="H36" s="16">
        <v>96</v>
      </c>
      <c r="I36" s="16"/>
      <c r="J36" s="16"/>
      <c r="K36" s="16">
        <f t="shared" si="4"/>
        <v>96</v>
      </c>
      <c r="L36" s="52">
        <f t="shared" si="1"/>
        <v>65</v>
      </c>
      <c r="M36">
        <f t="shared" si="3"/>
        <v>-9</v>
      </c>
    </row>
    <row r="37" spans="2:13" x14ac:dyDescent="0.4">
      <c r="B37" s="51" t="str">
        <f>IF(Subject!C45="","",Subject!B45 &amp; Subject!C45)</f>
        <v>池田直樹</v>
      </c>
      <c r="C37" s="14">
        <v>98</v>
      </c>
      <c r="D37" s="14"/>
      <c r="E37" s="14"/>
      <c r="F37" s="14">
        <f t="shared" si="2"/>
        <v>98</v>
      </c>
      <c r="G37" s="14">
        <f t="shared" si="0"/>
        <v>68</v>
      </c>
      <c r="H37" s="16">
        <v>96</v>
      </c>
      <c r="I37" s="16"/>
      <c r="J37" s="16"/>
      <c r="K37" s="16">
        <f t="shared" si="4"/>
        <v>96</v>
      </c>
      <c r="L37" s="52">
        <f t="shared" si="1"/>
        <v>65</v>
      </c>
      <c r="M37">
        <f t="shared" si="3"/>
        <v>2</v>
      </c>
    </row>
    <row r="38" spans="2:13" x14ac:dyDescent="0.4">
      <c r="B38" s="51" t="str">
        <f>IF(Subject!C46="","",Subject!B46 &amp; Subject!C46)</f>
        <v>橋本愛</v>
      </c>
      <c r="C38" s="14">
        <v>94</v>
      </c>
      <c r="D38" s="14"/>
      <c r="E38" s="14"/>
      <c r="F38" s="14">
        <f t="shared" si="2"/>
        <v>94</v>
      </c>
      <c r="G38" s="14">
        <f t="shared" si="0"/>
        <v>67</v>
      </c>
      <c r="H38" s="16">
        <v>88</v>
      </c>
      <c r="I38" s="16"/>
      <c r="J38" s="16"/>
      <c r="K38" s="16">
        <f t="shared" si="4"/>
        <v>88</v>
      </c>
      <c r="L38" s="52">
        <f t="shared" si="1"/>
        <v>62</v>
      </c>
      <c r="M38">
        <f t="shared" si="3"/>
        <v>6</v>
      </c>
    </row>
    <row r="39" spans="2:13" x14ac:dyDescent="0.4">
      <c r="B39" s="51" t="str">
        <f>IF(Subject!C47="","",Subject!B47 &amp; Subject!C47)</f>
        <v>阿部健太</v>
      </c>
      <c r="C39" s="14"/>
      <c r="D39" s="14"/>
      <c r="E39" s="14"/>
      <c r="F39" s="14">
        <f t="shared" si="2"/>
        <v>0</v>
      </c>
      <c r="G39" s="14">
        <f t="shared" si="0"/>
        <v>41</v>
      </c>
      <c r="H39" s="16"/>
      <c r="I39" s="16"/>
      <c r="J39" s="16"/>
      <c r="K39" s="16">
        <f t="shared" si="4"/>
        <v>0</v>
      </c>
      <c r="L39" s="52">
        <f t="shared" si="1"/>
        <v>39</v>
      </c>
      <c r="M39">
        <f t="shared" si="3"/>
        <v>0</v>
      </c>
    </row>
    <row r="40" spans="2:13" x14ac:dyDescent="0.4">
      <c r="B40" s="51" t="str">
        <f>IF(Subject!C48="","",Subject!B48 &amp; Subject!C48)</f>
        <v>石川陽菜</v>
      </c>
      <c r="C40" s="14">
        <v>35</v>
      </c>
      <c r="D40" s="14"/>
      <c r="E40" s="14"/>
      <c r="F40" s="14">
        <f t="shared" si="2"/>
        <v>35</v>
      </c>
      <c r="G40" s="14">
        <f t="shared" si="0"/>
        <v>51</v>
      </c>
      <c r="H40" s="16">
        <v>70</v>
      </c>
      <c r="I40" s="16"/>
      <c r="J40" s="16"/>
      <c r="K40" s="16">
        <f t="shared" si="4"/>
        <v>70</v>
      </c>
      <c r="L40" s="52">
        <f t="shared" si="1"/>
        <v>58</v>
      </c>
      <c r="M40">
        <f t="shared" si="3"/>
        <v>-35</v>
      </c>
    </row>
    <row r="41" spans="2:13" x14ac:dyDescent="0.4">
      <c r="B41" s="51" t="str">
        <f>IF(Subject!C49="","",Subject!B49 &amp; Subject!C49)</f>
        <v>山下学</v>
      </c>
      <c r="C41" s="14"/>
      <c r="D41" s="14"/>
      <c r="E41" s="14"/>
      <c r="F41" s="14">
        <f t="shared" si="2"/>
        <v>0</v>
      </c>
      <c r="G41" s="14">
        <f t="shared" si="0"/>
        <v>41</v>
      </c>
      <c r="H41" s="16"/>
      <c r="I41" s="16"/>
      <c r="J41" s="16"/>
      <c r="K41" s="16">
        <f t="shared" si="4"/>
        <v>0</v>
      </c>
      <c r="L41" s="52">
        <f t="shared" si="1"/>
        <v>39</v>
      </c>
      <c r="M41">
        <f t="shared" si="3"/>
        <v>0</v>
      </c>
    </row>
    <row r="42" spans="2:13" x14ac:dyDescent="0.4">
      <c r="B42" s="51" t="str">
        <f>IF(Subject!C50="","",Subject!B50 &amp; Subject!C50)</f>
        <v>中島凛</v>
      </c>
      <c r="C42" s="14"/>
      <c r="D42" s="14"/>
      <c r="E42" s="14"/>
      <c r="F42" s="14">
        <f t="shared" si="2"/>
        <v>0</v>
      </c>
      <c r="G42" s="14">
        <f t="shared" si="0"/>
        <v>41</v>
      </c>
      <c r="H42" s="16"/>
      <c r="I42" s="16"/>
      <c r="J42" s="16"/>
      <c r="K42" s="16">
        <f t="shared" si="4"/>
        <v>0</v>
      </c>
      <c r="L42" s="52">
        <f t="shared" si="1"/>
        <v>39</v>
      </c>
      <c r="M42">
        <f t="shared" si="3"/>
        <v>0</v>
      </c>
    </row>
    <row r="43" spans="2:13" x14ac:dyDescent="0.4">
      <c r="B43" s="51" t="str">
        <f>IF(Subject!C51="","",Subject!B51 &amp; Subject!C51)</f>
        <v>石井健太</v>
      </c>
      <c r="C43" s="14"/>
      <c r="D43" s="14"/>
      <c r="E43" s="14"/>
      <c r="F43" s="14">
        <f t="shared" si="2"/>
        <v>0</v>
      </c>
      <c r="G43" s="14">
        <f t="shared" si="0"/>
        <v>41</v>
      </c>
      <c r="H43" s="16"/>
      <c r="I43" s="16"/>
      <c r="J43" s="16"/>
      <c r="K43" s="16">
        <f t="shared" si="4"/>
        <v>0</v>
      </c>
      <c r="L43" s="52">
        <f t="shared" si="1"/>
        <v>39</v>
      </c>
      <c r="M43">
        <f t="shared" si="3"/>
        <v>0</v>
      </c>
    </row>
    <row r="44" spans="2:13" x14ac:dyDescent="0.4">
      <c r="B44" s="51" t="str">
        <f>IF(Subject!C52="","",Subject!B52 &amp; Subject!C52)</f>
        <v>小川楓</v>
      </c>
      <c r="C44" s="14"/>
      <c r="D44" s="14"/>
      <c r="E44" s="14"/>
      <c r="F44" s="14">
        <f t="shared" si="2"/>
        <v>0</v>
      </c>
      <c r="G44" s="14">
        <f t="shared" si="0"/>
        <v>41</v>
      </c>
      <c r="H44" s="16"/>
      <c r="I44" s="16"/>
      <c r="J44" s="16"/>
      <c r="K44" s="16">
        <f t="shared" si="4"/>
        <v>0</v>
      </c>
      <c r="L44" s="52">
        <f t="shared" si="1"/>
        <v>39</v>
      </c>
      <c r="M44">
        <f t="shared" si="3"/>
        <v>0</v>
      </c>
    </row>
    <row r="45" spans="2:13" x14ac:dyDescent="0.4">
      <c r="B45" s="51" t="str">
        <f>IF(Subject!C53="","",Subject!B53 &amp; Subject!C53)</f>
        <v>00</v>
      </c>
      <c r="C45" s="14"/>
      <c r="D45" s="14"/>
      <c r="E45" s="14"/>
      <c r="F45" s="14">
        <f t="shared" si="2"/>
        <v>0</v>
      </c>
      <c r="G45" s="14">
        <f t="shared" si="0"/>
        <v>41</v>
      </c>
      <c r="H45" s="16"/>
      <c r="I45" s="16"/>
      <c r="J45" s="16"/>
      <c r="K45" s="16">
        <f t="shared" si="4"/>
        <v>0</v>
      </c>
      <c r="L45" s="52">
        <f t="shared" si="1"/>
        <v>39</v>
      </c>
      <c r="M45">
        <f t="shared" si="3"/>
        <v>0</v>
      </c>
    </row>
    <row r="46" spans="2:13" x14ac:dyDescent="0.4">
      <c r="B46" s="51" t="str">
        <f>IF(Subject!C54="","",Subject!B54 &amp; Subject!C54)</f>
        <v>00</v>
      </c>
      <c r="C46" s="14"/>
      <c r="D46" s="14"/>
      <c r="E46" s="14"/>
      <c r="F46" s="14">
        <f t="shared" si="2"/>
        <v>0</v>
      </c>
      <c r="G46" s="14">
        <f t="shared" si="0"/>
        <v>41</v>
      </c>
      <c r="H46" s="16"/>
      <c r="I46" s="16"/>
      <c r="J46" s="16"/>
      <c r="K46" s="16">
        <f t="shared" si="4"/>
        <v>0</v>
      </c>
      <c r="L46" s="52">
        <f t="shared" si="1"/>
        <v>39</v>
      </c>
      <c r="M46">
        <f t="shared" si="3"/>
        <v>0</v>
      </c>
    </row>
    <row r="47" spans="2:13" x14ac:dyDescent="0.4">
      <c r="B47" s="51" t="str">
        <f>IF(Subject!C55="","",Subject!B55 &amp; Subject!C55)</f>
        <v>00</v>
      </c>
      <c r="C47" s="14"/>
      <c r="D47" s="14"/>
      <c r="E47" s="14"/>
      <c r="F47" s="14">
        <f t="shared" si="2"/>
        <v>0</v>
      </c>
      <c r="G47" s="14">
        <f t="shared" si="0"/>
        <v>41</v>
      </c>
      <c r="H47" s="16"/>
      <c r="I47" s="16"/>
      <c r="J47" s="16"/>
      <c r="K47" s="16">
        <f t="shared" si="4"/>
        <v>0</v>
      </c>
      <c r="L47" s="52">
        <f t="shared" si="1"/>
        <v>39</v>
      </c>
      <c r="M47">
        <f t="shared" si="3"/>
        <v>0</v>
      </c>
    </row>
    <row r="48" spans="2:13" x14ac:dyDescent="0.4">
      <c r="B48" s="51" t="str">
        <f>IF(Subject!C56="","",Subject!B56 &amp; Subject!C56)</f>
        <v>00</v>
      </c>
      <c r="C48" s="14"/>
      <c r="D48" s="14"/>
      <c r="E48" s="14"/>
      <c r="F48" s="14">
        <f t="shared" si="2"/>
        <v>0</v>
      </c>
      <c r="G48" s="14">
        <f t="shared" si="0"/>
        <v>41</v>
      </c>
      <c r="H48" s="16"/>
      <c r="I48" s="16"/>
      <c r="J48" s="16"/>
      <c r="K48" s="16">
        <f t="shared" si="4"/>
        <v>0</v>
      </c>
      <c r="L48" s="52">
        <f t="shared" si="1"/>
        <v>39</v>
      </c>
      <c r="M48">
        <f t="shared" si="3"/>
        <v>0</v>
      </c>
    </row>
    <row r="49" spans="2:13" x14ac:dyDescent="0.4">
      <c r="B49" s="51" t="str">
        <f>IF(Subject!C57="","",Subject!B57 &amp; Subject!C57)</f>
        <v>00</v>
      </c>
      <c r="C49" s="14"/>
      <c r="D49" s="14"/>
      <c r="E49" s="14"/>
      <c r="F49" s="14">
        <f t="shared" si="2"/>
        <v>0</v>
      </c>
      <c r="G49" s="14">
        <f t="shared" si="0"/>
        <v>41</v>
      </c>
      <c r="H49" s="16"/>
      <c r="I49" s="16"/>
      <c r="J49" s="16"/>
      <c r="K49" s="16">
        <f t="shared" si="4"/>
        <v>0</v>
      </c>
      <c r="L49" s="52">
        <f t="shared" si="1"/>
        <v>39</v>
      </c>
      <c r="M49">
        <f t="shared" si="3"/>
        <v>0</v>
      </c>
    </row>
    <row r="50" spans="2:13" x14ac:dyDescent="0.4">
      <c r="B50" s="51" t="str">
        <f>IF(Subject!C58="","",Subject!B58 &amp; Subject!C58)</f>
        <v>00</v>
      </c>
      <c r="C50" s="14"/>
      <c r="D50" s="14"/>
      <c r="E50" s="14"/>
      <c r="F50" s="14">
        <f t="shared" si="2"/>
        <v>0</v>
      </c>
      <c r="G50" s="14">
        <f t="shared" si="0"/>
        <v>41</v>
      </c>
      <c r="H50" s="16"/>
      <c r="I50" s="16"/>
      <c r="J50" s="16"/>
      <c r="K50" s="16">
        <f t="shared" si="4"/>
        <v>0</v>
      </c>
      <c r="L50" s="52">
        <f t="shared" si="1"/>
        <v>39</v>
      </c>
      <c r="M50">
        <f t="shared" si="3"/>
        <v>0</v>
      </c>
    </row>
    <row r="51" spans="2:13" x14ac:dyDescent="0.4">
      <c r="B51" s="51" t="str">
        <f>IF(Subject!C59="","",Subject!B59 &amp; Subject!C59)</f>
        <v>00</v>
      </c>
      <c r="C51" s="14"/>
      <c r="D51" s="14"/>
      <c r="E51" s="14"/>
      <c r="F51" s="14">
        <f t="shared" si="2"/>
        <v>0</v>
      </c>
      <c r="G51" s="14">
        <f t="shared" si="0"/>
        <v>41</v>
      </c>
      <c r="H51" s="16"/>
      <c r="I51" s="16"/>
      <c r="J51" s="16"/>
      <c r="K51" s="16">
        <f t="shared" si="4"/>
        <v>0</v>
      </c>
      <c r="L51" s="52">
        <f t="shared" si="1"/>
        <v>39</v>
      </c>
      <c r="M51">
        <f t="shared" si="3"/>
        <v>0</v>
      </c>
    </row>
    <row r="52" spans="2:13" x14ac:dyDescent="0.4">
      <c r="B52" s="51" t="str">
        <f>IF(Subject!C60="","",Subject!B60 &amp; Subject!C60)</f>
        <v>00</v>
      </c>
      <c r="C52" s="14"/>
      <c r="D52" s="14"/>
      <c r="E52" s="14"/>
      <c r="F52" s="14">
        <f t="shared" si="2"/>
        <v>0</v>
      </c>
      <c r="G52" s="14">
        <f t="shared" si="0"/>
        <v>41</v>
      </c>
      <c r="H52" s="16"/>
      <c r="I52" s="16"/>
      <c r="J52" s="16"/>
      <c r="K52" s="16">
        <f t="shared" si="4"/>
        <v>0</v>
      </c>
      <c r="L52" s="52">
        <f t="shared" si="1"/>
        <v>39</v>
      </c>
      <c r="M52">
        <f t="shared" si="3"/>
        <v>0</v>
      </c>
    </row>
    <row r="53" spans="2:13" x14ac:dyDescent="0.4">
      <c r="B53" s="51" t="str">
        <f>IF(Subject!C61="","",Subject!B61 &amp; Subject!C61)</f>
        <v>00</v>
      </c>
      <c r="C53" s="14"/>
      <c r="D53" s="14"/>
      <c r="E53" s="14"/>
      <c r="F53" s="14">
        <f t="shared" si="2"/>
        <v>0</v>
      </c>
      <c r="G53" s="14">
        <f t="shared" si="0"/>
        <v>41</v>
      </c>
      <c r="H53" s="16"/>
      <c r="I53" s="16"/>
      <c r="J53" s="16"/>
      <c r="K53" s="16">
        <f t="shared" si="4"/>
        <v>0</v>
      </c>
      <c r="L53" s="52">
        <f t="shared" si="1"/>
        <v>39</v>
      </c>
      <c r="M53">
        <f t="shared" si="3"/>
        <v>0</v>
      </c>
    </row>
    <row r="54" spans="2:13" ht="19.5" thickBot="1" x14ac:dyDescent="0.45">
      <c r="B54" s="53" t="str">
        <f>IF(Subject!C62="","",Subject!B62 &amp; Subject!C62)</f>
        <v>00</v>
      </c>
      <c r="C54" s="54"/>
      <c r="D54" s="54"/>
      <c r="E54" s="54"/>
      <c r="F54" s="54">
        <f t="shared" si="2"/>
        <v>0</v>
      </c>
      <c r="G54" s="54">
        <f t="shared" si="0"/>
        <v>41</v>
      </c>
      <c r="H54" s="55"/>
      <c r="I54" s="55"/>
      <c r="J54" s="55"/>
      <c r="K54" s="55">
        <f t="shared" si="4"/>
        <v>0</v>
      </c>
      <c r="L54" s="56">
        <f t="shared" si="1"/>
        <v>39</v>
      </c>
      <c r="M54">
        <f t="shared" si="3"/>
        <v>0</v>
      </c>
    </row>
    <row r="55" spans="2:13" x14ac:dyDescent="0.4">
      <c r="L55" t="s">
        <v>55</v>
      </c>
      <c r="M55">
        <f>_xlfn.VAR.P(M15:M54)</f>
        <v>307.87437499999999</v>
      </c>
    </row>
    <row r="56" spans="2:13" x14ac:dyDescent="0.4">
      <c r="L56" t="s">
        <v>59</v>
      </c>
      <c r="M56">
        <f>AVERAGE(M15:M54)</f>
        <v>-8.9749999999999996</v>
      </c>
    </row>
  </sheetData>
  <mergeCells count="4">
    <mergeCell ref="C8:E8"/>
    <mergeCell ref="H8:J8"/>
    <mergeCell ref="C1:F1"/>
    <mergeCell ref="H1:K1"/>
  </mergeCells>
  <phoneticPr fontId="1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61AE6-83E3-40AD-90E8-AF1819F7DEEB}">
  <sheetPr codeName="sh_setting">
    <tabColor rgb="FFA6A6A6"/>
  </sheetPr>
  <dimension ref="A1:I32"/>
  <sheetViews>
    <sheetView workbookViewId="0">
      <selection sqref="A1:I1"/>
    </sheetView>
  </sheetViews>
  <sheetFormatPr defaultRowHeight="18.75" x14ac:dyDescent="0.4"/>
  <cols>
    <col min="3" max="3" width="10.125" customWidth="1"/>
    <col min="4" max="4" width="25.875" customWidth="1"/>
  </cols>
  <sheetData>
    <row r="1" spans="1:9" ht="61.5" customHeight="1" x14ac:dyDescent="0.4"/>
    <row r="2" spans="1:9" s="4" customFormat="1" x14ac:dyDescent="0.4">
      <c r="A2" s="4" t="s">
        <v>14</v>
      </c>
      <c r="B2" s="4" t="s">
        <v>0</v>
      </c>
      <c r="C2" s="4" t="s">
        <v>28</v>
      </c>
      <c r="D2" s="4" t="s">
        <v>2</v>
      </c>
      <c r="E2" s="4" t="s">
        <v>5</v>
      </c>
      <c r="F2" s="4" t="s">
        <v>82</v>
      </c>
      <c r="H2" s="4" t="s">
        <v>62</v>
      </c>
      <c r="I2" s="4" t="s">
        <v>63</v>
      </c>
    </row>
    <row r="3" spans="1:9" x14ac:dyDescent="0.4">
      <c r="A3" s="1" t="s">
        <v>15</v>
      </c>
      <c r="B3" s="1" t="s">
        <v>6</v>
      </c>
      <c r="C3">
        <v>13</v>
      </c>
      <c r="D3" s="1" t="s">
        <v>27</v>
      </c>
      <c r="E3" s="1" t="s">
        <v>24</v>
      </c>
      <c r="F3" s="1" t="s">
        <v>84</v>
      </c>
      <c r="H3" s="1">
        <v>90</v>
      </c>
      <c r="I3" s="1">
        <v>70</v>
      </c>
    </row>
    <row r="4" spans="1:9" x14ac:dyDescent="0.4">
      <c r="A4" s="1" t="s">
        <v>16</v>
      </c>
      <c r="B4" s="1" t="s">
        <v>8</v>
      </c>
      <c r="C4">
        <v>5</v>
      </c>
      <c r="D4" s="1" t="s">
        <v>26</v>
      </c>
      <c r="E4" t="str">
        <f>IF($E$3="前後期","前期","1学期")</f>
        <v>前期</v>
      </c>
      <c r="F4" s="6" t="s">
        <v>31</v>
      </c>
      <c r="H4" s="1">
        <v>90</v>
      </c>
      <c r="I4" s="1">
        <v>71</v>
      </c>
    </row>
    <row r="5" spans="1:9" x14ac:dyDescent="0.4">
      <c r="A5" s="1" t="s">
        <v>17</v>
      </c>
      <c r="B5" s="1" t="s">
        <v>7</v>
      </c>
      <c r="C5">
        <v>7</v>
      </c>
      <c r="D5" s="1" t="s">
        <v>25</v>
      </c>
      <c r="E5" t="str">
        <f>IF($E$3="前後期","後期","2学期")</f>
        <v>後期</v>
      </c>
      <c r="F5" s="1"/>
      <c r="H5" s="1">
        <v>91</v>
      </c>
      <c r="I5" s="1">
        <v>70</v>
      </c>
    </row>
    <row r="6" spans="1:9" x14ac:dyDescent="0.4">
      <c r="A6" s="1" t="s">
        <v>18</v>
      </c>
      <c r="B6" s="1" t="s">
        <v>9</v>
      </c>
      <c r="C6">
        <v>1</v>
      </c>
      <c r="D6" s="1"/>
      <c r="E6" t="str">
        <f>IF($E$3="前後期","","3学期")</f>
        <v/>
      </c>
      <c r="F6" s="1"/>
      <c r="H6" s="1"/>
      <c r="I6" s="1"/>
    </row>
    <row r="7" spans="1:9" x14ac:dyDescent="0.4">
      <c r="A7" s="1" t="s">
        <v>21</v>
      </c>
      <c r="B7" s="1" t="s">
        <v>19</v>
      </c>
      <c r="C7">
        <v>2</v>
      </c>
      <c r="D7" s="1"/>
      <c r="F7" s="1"/>
      <c r="H7" s="1"/>
      <c r="I7" s="1"/>
    </row>
    <row r="8" spans="1:9" x14ac:dyDescent="0.4">
      <c r="A8" s="1" t="s">
        <v>22</v>
      </c>
      <c r="B8" s="1" t="s">
        <v>20</v>
      </c>
      <c r="D8" s="1"/>
      <c r="F8" s="1"/>
      <c r="H8" s="1"/>
      <c r="I8" s="1"/>
    </row>
    <row r="9" spans="1:9" x14ac:dyDescent="0.4">
      <c r="A9" s="1"/>
      <c r="B9" s="1"/>
      <c r="D9" s="1"/>
      <c r="F9" s="1"/>
      <c r="H9" s="1"/>
      <c r="I9" s="1"/>
    </row>
    <row r="10" spans="1:9" x14ac:dyDescent="0.4">
      <c r="A10" s="1"/>
      <c r="B10" s="1"/>
      <c r="D10" s="1"/>
      <c r="F10" s="1"/>
      <c r="H10" s="1"/>
      <c r="I10" s="1"/>
    </row>
    <row r="11" spans="1:9" x14ac:dyDescent="0.4">
      <c r="A11" s="1"/>
      <c r="B11" s="1"/>
      <c r="D11" s="1"/>
      <c r="F11" s="1"/>
      <c r="H11" s="1"/>
      <c r="I11" s="1"/>
    </row>
    <row r="12" spans="1:9" x14ac:dyDescent="0.4">
      <c r="A12" s="1"/>
      <c r="B12" s="1"/>
      <c r="D12" s="1"/>
      <c r="F12" s="1"/>
      <c r="H12" s="1"/>
      <c r="I12" s="1"/>
    </row>
    <row r="13" spans="1:9" x14ac:dyDescent="0.4">
      <c r="A13" s="1"/>
      <c r="B13" s="1"/>
      <c r="D13" s="1"/>
      <c r="F13" s="1"/>
      <c r="H13" s="1"/>
      <c r="I13" s="1"/>
    </row>
    <row r="14" spans="1:9" x14ac:dyDescent="0.4">
      <c r="A14" s="1"/>
      <c r="B14" s="1"/>
      <c r="D14" s="1"/>
      <c r="F14" s="1"/>
      <c r="H14" s="1"/>
      <c r="I14" s="1"/>
    </row>
    <row r="15" spans="1:9" x14ac:dyDescent="0.4">
      <c r="A15" s="1"/>
      <c r="B15" s="1"/>
      <c r="D15" s="1"/>
      <c r="F15" s="1"/>
      <c r="H15" s="1"/>
      <c r="I15" s="1"/>
    </row>
    <row r="16" spans="1:9" x14ac:dyDescent="0.4">
      <c r="A16" s="1"/>
      <c r="B16" s="1"/>
      <c r="D16" s="1"/>
      <c r="F16" s="1"/>
      <c r="H16" s="1"/>
      <c r="I16" s="1"/>
    </row>
    <row r="17" spans="8:9" x14ac:dyDescent="0.4">
      <c r="H17" s="1"/>
      <c r="I17" s="1"/>
    </row>
    <row r="18" spans="8:9" x14ac:dyDescent="0.4">
      <c r="H18" s="1"/>
      <c r="I18" s="1"/>
    </row>
    <row r="19" spans="8:9" x14ac:dyDescent="0.4">
      <c r="H19" s="1"/>
      <c r="I19" s="1"/>
    </row>
    <row r="20" spans="8:9" x14ac:dyDescent="0.4">
      <c r="H20" s="1"/>
      <c r="I20" s="1"/>
    </row>
    <row r="21" spans="8:9" x14ac:dyDescent="0.4">
      <c r="H21" s="1"/>
      <c r="I21" s="1"/>
    </row>
    <row r="22" spans="8:9" x14ac:dyDescent="0.4">
      <c r="H22" s="1"/>
      <c r="I22" s="1"/>
    </row>
    <row r="23" spans="8:9" x14ac:dyDescent="0.4">
      <c r="H23" s="1"/>
      <c r="I23" s="1"/>
    </row>
    <row r="24" spans="8:9" x14ac:dyDescent="0.4">
      <c r="H24" s="1"/>
      <c r="I24" s="1"/>
    </row>
    <row r="25" spans="8:9" x14ac:dyDescent="0.4">
      <c r="H25" s="1"/>
      <c r="I25" s="1"/>
    </row>
    <row r="26" spans="8:9" x14ac:dyDescent="0.4">
      <c r="H26" s="1"/>
      <c r="I26" s="1"/>
    </row>
    <row r="27" spans="8:9" x14ac:dyDescent="0.4">
      <c r="H27" s="1"/>
      <c r="I27" s="1"/>
    </row>
    <row r="28" spans="8:9" x14ac:dyDescent="0.4">
      <c r="H28" s="1"/>
      <c r="I28" s="1"/>
    </row>
    <row r="29" spans="8:9" x14ac:dyDescent="0.4">
      <c r="H29" s="1"/>
      <c r="I29" s="1"/>
    </row>
    <row r="30" spans="8:9" x14ac:dyDescent="0.4">
      <c r="H30" s="1"/>
      <c r="I30" s="1"/>
    </row>
    <row r="31" spans="8:9" x14ac:dyDescent="0.4">
      <c r="H31" s="1"/>
      <c r="I31" s="1"/>
    </row>
    <row r="32" spans="8:9" x14ac:dyDescent="0.4">
      <c r="H32" s="1"/>
      <c r="I32" s="1"/>
    </row>
  </sheetData>
  <phoneticPr fontId="1"/>
  <dataValidations count="1">
    <dataValidation type="list" allowBlank="1" showInputMessage="1" showErrorMessage="1" sqref="E3" xr:uid="{B877D7C5-7F59-4CA0-BA7F-AB4D4A20963C}">
      <formula1>"前後期,３学期"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6BEF01-3788-4B43-A75C-4E8415734E73}">
  <sheetPr codeName="sh_rt_menu"/>
  <dimension ref="A1:G3"/>
  <sheetViews>
    <sheetView workbookViewId="0">
      <selection activeCell="A4" sqref="A4"/>
    </sheetView>
  </sheetViews>
  <sheetFormatPr defaultRowHeight="18.75" x14ac:dyDescent="0.4"/>
  <sheetData>
    <row r="1" spans="1:7" ht="33" x14ac:dyDescent="0.4">
      <c r="A1" s="99" t="s">
        <v>191</v>
      </c>
    </row>
    <row r="2" spans="1:7" ht="57.75" customHeight="1" x14ac:dyDescent="0.4"/>
    <row r="3" spans="1:7" x14ac:dyDescent="0.4">
      <c r="A3" t="s">
        <v>91</v>
      </c>
      <c r="B3" t="s">
        <v>0</v>
      </c>
      <c r="C3" t="s">
        <v>100</v>
      </c>
      <c r="D3" t="s">
        <v>2</v>
      </c>
      <c r="E3" t="s">
        <v>192</v>
      </c>
      <c r="F3" t="s">
        <v>193</v>
      </c>
      <c r="G3" t="s">
        <v>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RefreshRetestMenu">
                <anchor moveWithCells="1" sizeWithCells="1">
                  <from>
                    <xdr:col>0</xdr:col>
                    <xdr:colOff>57150</xdr:colOff>
                    <xdr:row>1</xdr:row>
                    <xdr:rowOff>28575</xdr:rowOff>
                  </from>
                  <to>
                    <xdr:col>3</xdr:col>
                    <xdr:colOff>95250</xdr:colOff>
                    <xdr:row>1</xdr:row>
                    <xdr:rowOff>666750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B2BA33-78C1-486B-BB23-1EBD93F6E8E2}">
  <sheetPr codeName="sh_rt_template"/>
  <dimension ref="A1:H40"/>
  <sheetViews>
    <sheetView workbookViewId="0">
      <selection activeCell="A3" sqref="A3"/>
    </sheetView>
  </sheetViews>
  <sheetFormatPr defaultRowHeight="16.5" x14ac:dyDescent="0.4"/>
  <cols>
    <col min="1" max="1" width="12.625" style="100" customWidth="1"/>
    <col min="2" max="3" width="8.625" style="100" customWidth="1"/>
    <col min="4" max="4" width="10.625" style="100" customWidth="1"/>
    <col min="5" max="5" width="12.625" style="100" customWidth="1"/>
    <col min="6" max="6" width="9" style="100"/>
    <col min="7" max="7" width="10.375" style="100" customWidth="1"/>
    <col min="8" max="16384" width="9" style="100"/>
  </cols>
  <sheetData>
    <row r="1" spans="1:8" ht="24" x14ac:dyDescent="0.4">
      <c r="A1" s="125" t="s">
        <v>195</v>
      </c>
      <c r="B1" s="101"/>
      <c r="C1" s="101"/>
      <c r="D1" s="101"/>
      <c r="E1" s="101"/>
      <c r="F1" s="101"/>
      <c r="G1" s="101"/>
      <c r="H1" s="101"/>
    </row>
    <row r="2" spans="1:8" ht="57" customHeight="1" x14ac:dyDescent="0.4"/>
    <row r="3" spans="1:8" x14ac:dyDescent="0.4">
      <c r="A3" s="136" t="s">
        <v>196</v>
      </c>
      <c r="B3" s="127"/>
      <c r="D3" s="136" t="s">
        <v>3</v>
      </c>
      <c r="G3" s="128" t="s">
        <v>227</v>
      </c>
      <c r="H3" s="137"/>
    </row>
    <row r="4" spans="1:8" x14ac:dyDescent="0.4">
      <c r="A4" s="136" t="s">
        <v>0</v>
      </c>
      <c r="B4" s="127"/>
      <c r="D4" s="136" t="s">
        <v>225</v>
      </c>
      <c r="G4" s="128" t="s">
        <v>228</v>
      </c>
      <c r="H4" s="137"/>
    </row>
    <row r="5" spans="1:8" x14ac:dyDescent="0.4">
      <c r="A5" s="136" t="s">
        <v>100</v>
      </c>
      <c r="B5" s="127"/>
      <c r="D5" s="136" t="s">
        <v>197</v>
      </c>
    </row>
    <row r="6" spans="1:8" x14ac:dyDescent="0.4">
      <c r="A6" s="136" t="s">
        <v>2</v>
      </c>
      <c r="B6" s="127"/>
      <c r="D6" s="136" t="str">
        <f>IF(E5="内分点","内分比","")</f>
        <v/>
      </c>
    </row>
    <row r="7" spans="1:8" x14ac:dyDescent="0.4">
      <c r="A7" s="136" t="s">
        <v>83</v>
      </c>
      <c r="B7" s="127"/>
      <c r="D7" s="136" t="s">
        <v>192</v>
      </c>
      <c r="E7" s="100" t="s">
        <v>198</v>
      </c>
    </row>
    <row r="10" spans="1:8" s="135" customFormat="1" x14ac:dyDescent="0.4">
      <c r="A10" s="103" t="s">
        <v>91</v>
      </c>
      <c r="B10" s="103" t="s">
        <v>92</v>
      </c>
      <c r="C10" s="103" t="s">
        <v>93</v>
      </c>
      <c r="D10" s="103" t="s">
        <v>199</v>
      </c>
      <c r="E10" s="103" t="s">
        <v>200</v>
      </c>
      <c r="F10" s="103" t="s">
        <v>201</v>
      </c>
      <c r="G10" s="103" t="s">
        <v>226</v>
      </c>
      <c r="H10" s="103"/>
    </row>
    <row r="11" spans="1:8" x14ac:dyDescent="0.4">
      <c r="G11" s="100" t="str">
        <f>IF($E$4="","",IF(F11&gt;=$E$4,"合格",""))</f>
        <v/>
      </c>
    </row>
    <row r="12" spans="1:8" x14ac:dyDescent="0.4">
      <c r="G12" s="100" t="str">
        <f t="shared" ref="G12:G40" si="0">IF($E$4="","",IF(F12&gt;=$E$4,"合格",""))</f>
        <v/>
      </c>
    </row>
    <row r="13" spans="1:8" x14ac:dyDescent="0.4">
      <c r="G13" s="100" t="str">
        <f t="shared" si="0"/>
        <v/>
      </c>
    </row>
    <row r="14" spans="1:8" x14ac:dyDescent="0.4">
      <c r="G14" s="100" t="str">
        <f t="shared" si="0"/>
        <v/>
      </c>
    </row>
    <row r="15" spans="1:8" x14ac:dyDescent="0.4">
      <c r="G15" s="100" t="str">
        <f t="shared" si="0"/>
        <v/>
      </c>
    </row>
    <row r="16" spans="1:8" x14ac:dyDescent="0.4">
      <c r="G16" s="100" t="str">
        <f t="shared" si="0"/>
        <v/>
      </c>
    </row>
    <row r="17" spans="7:7" x14ac:dyDescent="0.4">
      <c r="G17" s="100" t="str">
        <f t="shared" si="0"/>
        <v/>
      </c>
    </row>
    <row r="18" spans="7:7" x14ac:dyDescent="0.4">
      <c r="G18" s="100" t="str">
        <f t="shared" si="0"/>
        <v/>
      </c>
    </row>
    <row r="19" spans="7:7" x14ac:dyDescent="0.4">
      <c r="G19" s="100" t="str">
        <f t="shared" si="0"/>
        <v/>
      </c>
    </row>
    <row r="20" spans="7:7" x14ac:dyDescent="0.4">
      <c r="G20" s="100" t="str">
        <f t="shared" si="0"/>
        <v/>
      </c>
    </row>
    <row r="21" spans="7:7" x14ac:dyDescent="0.4">
      <c r="G21" s="100" t="str">
        <f t="shared" si="0"/>
        <v/>
      </c>
    </row>
    <row r="22" spans="7:7" x14ac:dyDescent="0.4">
      <c r="G22" s="100" t="str">
        <f t="shared" si="0"/>
        <v/>
      </c>
    </row>
    <row r="23" spans="7:7" x14ac:dyDescent="0.4">
      <c r="G23" s="100" t="str">
        <f t="shared" si="0"/>
        <v/>
      </c>
    </row>
    <row r="24" spans="7:7" x14ac:dyDescent="0.4">
      <c r="G24" s="100" t="str">
        <f t="shared" si="0"/>
        <v/>
      </c>
    </row>
    <row r="25" spans="7:7" x14ac:dyDescent="0.4">
      <c r="G25" s="100" t="str">
        <f t="shared" si="0"/>
        <v/>
      </c>
    </row>
    <row r="26" spans="7:7" x14ac:dyDescent="0.4">
      <c r="G26" s="100" t="str">
        <f t="shared" si="0"/>
        <v/>
      </c>
    </row>
    <row r="27" spans="7:7" x14ac:dyDescent="0.4">
      <c r="G27" s="100" t="str">
        <f t="shared" si="0"/>
        <v/>
      </c>
    </row>
    <row r="28" spans="7:7" x14ac:dyDescent="0.4">
      <c r="G28" s="100" t="str">
        <f t="shared" si="0"/>
        <v/>
      </c>
    </row>
    <row r="29" spans="7:7" x14ac:dyDescent="0.4">
      <c r="G29" s="100" t="str">
        <f t="shared" si="0"/>
        <v/>
      </c>
    </row>
    <row r="30" spans="7:7" x14ac:dyDescent="0.4">
      <c r="G30" s="100" t="str">
        <f t="shared" si="0"/>
        <v/>
      </c>
    </row>
    <row r="31" spans="7:7" x14ac:dyDescent="0.4">
      <c r="G31" s="100" t="str">
        <f t="shared" si="0"/>
        <v/>
      </c>
    </row>
    <row r="32" spans="7:7" x14ac:dyDescent="0.4">
      <c r="G32" s="100" t="str">
        <f t="shared" si="0"/>
        <v/>
      </c>
    </row>
    <row r="33" spans="7:7" x14ac:dyDescent="0.4">
      <c r="G33" s="100" t="str">
        <f t="shared" si="0"/>
        <v/>
      </c>
    </row>
    <row r="34" spans="7:7" x14ac:dyDescent="0.4">
      <c r="G34" s="100" t="str">
        <f t="shared" si="0"/>
        <v/>
      </c>
    </row>
    <row r="35" spans="7:7" x14ac:dyDescent="0.4">
      <c r="G35" s="100" t="str">
        <f t="shared" si="0"/>
        <v/>
      </c>
    </row>
    <row r="36" spans="7:7" x14ac:dyDescent="0.4">
      <c r="G36" s="100" t="str">
        <f t="shared" si="0"/>
        <v/>
      </c>
    </row>
    <row r="37" spans="7:7" x14ac:dyDescent="0.4">
      <c r="G37" s="100" t="str">
        <f t="shared" si="0"/>
        <v/>
      </c>
    </row>
    <row r="38" spans="7:7" x14ac:dyDescent="0.4">
      <c r="G38" s="100" t="str">
        <f t="shared" si="0"/>
        <v/>
      </c>
    </row>
    <row r="39" spans="7:7" x14ac:dyDescent="0.4">
      <c r="G39" s="100" t="str">
        <f t="shared" si="0"/>
        <v/>
      </c>
    </row>
    <row r="40" spans="7:7" x14ac:dyDescent="0.4">
      <c r="G40" s="100" t="str">
        <f t="shared" si="0"/>
        <v/>
      </c>
    </row>
  </sheetData>
  <phoneticPr fontId="1"/>
  <conditionalFormatting sqref="E7">
    <cfRule type="cellIs" dxfId="1" priority="1" stopIfTrue="1" operator="equal">
      <formula>"追試中"</formula>
    </cfRule>
    <cfRule type="cellIs" dxfId="0" priority="2" stopIfTrue="1" operator="equal">
      <formula>"反映済み"</formula>
    </cfRule>
  </conditionalFormatting>
  <dataValidations count="1">
    <dataValidation type="list" allowBlank="1" showInputMessage="1" showErrorMessage="1" sqref="E5" xr:uid="{B8CB24EC-2FB3-44A6-A27A-EBB61CF58E1D}">
      <formula1>"本試のみ,内分点,合格点,最大値"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3" r:id="rId3" name="Button 1">
              <controlPr defaultSize="0" print="0" autoFill="0" autoPict="0" macro="[0]!ApplyFinalScoreFormulasUI">
                <anchor>
                  <from>
                    <xdr:col>0</xdr:col>
                    <xdr:colOff>57150</xdr:colOff>
                    <xdr:row>1</xdr:row>
                    <xdr:rowOff>161925</xdr:rowOff>
                  </from>
                  <to>
                    <xdr:col>2</xdr:col>
                    <xdr:colOff>142875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4" r:id="rId4" name="Button 2">
              <controlPr defaultSize="0" print="0" autoFill="0" autoPict="0" macro="[0]!AddRetestRoundUI">
                <anchor>
                  <from>
                    <xdr:col>2</xdr:col>
                    <xdr:colOff>276225</xdr:colOff>
                    <xdr:row>1</xdr:row>
                    <xdr:rowOff>161925</xdr:rowOff>
                  </from>
                  <to>
                    <xdr:col>4</xdr:col>
                    <xdr:colOff>295275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5" r:id="rId5" name="Button 3">
              <controlPr defaultSize="0" print="0" autoFill="0" autoPict="0" macro="[0]!CompleteRetestUI">
                <anchor>
                  <from>
                    <xdr:col>4</xdr:col>
                    <xdr:colOff>457200</xdr:colOff>
                    <xdr:row>1</xdr:row>
                    <xdr:rowOff>161925</xdr:rowOff>
                  </from>
                  <to>
                    <xdr:col>6</xdr:col>
                    <xdr:colOff>400050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7" r:id="rId6" name="Button 5">
              <controlPr defaultSize="0" print="0" autoFill="0" autoPict="0" macro="[0]!ApplyFinalScoreFormulasUI">
                <anchor moveWithCells="1" sizeWithCells="1">
                  <from>
                    <xdr:col>2</xdr:col>
                    <xdr:colOff>676275</xdr:colOff>
                    <xdr:row>4</xdr:row>
                    <xdr:rowOff>0</xdr:rowOff>
                  </from>
                  <to>
                    <xdr:col>3</xdr:col>
                    <xdr:colOff>676275</xdr:colOff>
                    <xdr:row>4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10</vt:i4>
      </vt:variant>
      <vt:variant>
        <vt:lpstr>名前付き一覧</vt:lpstr>
      </vt:variant>
      <vt:variant>
        <vt:i4>1</vt:i4>
      </vt:variant>
    </vt:vector>
  </HeadingPairs>
  <TitlesOfParts>
    <vt:vector size="11" baseType="lpstr">
      <vt:lpstr>MENU</vt:lpstr>
      <vt:lpstr>名簿</vt:lpstr>
      <vt:lpstr>テスト入力</vt:lpstr>
      <vt:lpstr>データ</vt:lpstr>
      <vt:lpstr>Subject</vt:lpstr>
      <vt:lpstr>Result</vt:lpstr>
      <vt:lpstr>IndividualAnalysis</vt:lpstr>
      <vt:lpstr>Setting</vt:lpstr>
      <vt:lpstr>追試管理メニュー</vt:lpstr>
      <vt:lpstr>追試管理シート</vt:lpstr>
      <vt:lpstr>Subject!Print_Area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矢原健一郎</dc:creator>
  <cp:lastModifiedBy>健一郎 矢原</cp:lastModifiedBy>
  <cp:lastPrinted>2025-09-24T09:11:12Z</cp:lastPrinted>
  <dcterms:created xsi:type="dcterms:W3CDTF">2022-03-12T02:04:09Z</dcterms:created>
  <dcterms:modified xsi:type="dcterms:W3CDTF">2026-02-09T16:23:40Z</dcterms:modified>
</cp:coreProperties>
</file>